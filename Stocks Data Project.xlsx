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tabRatio="779"/>
  </bookViews>
  <sheets>
    <sheet name="Apple Stock" sheetId="7" r:id="rId1"/>
    <sheet name="Microsoft Stock" sheetId="2" r:id="rId2"/>
    <sheet name="Netflix Stock" sheetId="3" r:id="rId3"/>
    <sheet name="Google Stock" sheetId="4" r:id="rId4"/>
    <sheet name="Stock Adjusted Close data" sheetId="5" r:id="rId5"/>
    <sheet name="Volume Analysis" sheetId="6" r:id="rId6"/>
  </sheets>
  <externalReferences>
    <externalReference r:id="rId7"/>
  </externalReferences>
  <definedNames>
    <definedName name="_xlnm._FilterDatabase" localSheetId="0" hidden="1">'Apple Stock'!$C$8:$J$8</definedName>
  </definedNames>
  <calcPr calcId="124519"/>
</workbook>
</file>

<file path=xl/calcChain.xml><?xml version="1.0" encoding="utf-8"?>
<calcChain xmlns="http://schemas.openxmlformats.org/spreadsheetml/2006/main">
  <c r="D10" i="6"/>
  <c r="D9"/>
  <c r="D8"/>
  <c r="D7"/>
  <c r="B10"/>
  <c r="B9"/>
  <c r="B8"/>
  <c r="B7"/>
  <c r="B66" i="5"/>
  <c r="B67"/>
  <c r="B68"/>
  <c r="B6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F9"/>
  <c r="E9"/>
  <c r="D9"/>
  <c r="C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70"/>
  <c r="B9"/>
  <c r="J4" i="4"/>
  <c r="K4"/>
  <c r="C4"/>
  <c r="D4"/>
  <c r="E4"/>
  <c r="F4"/>
  <c r="G4"/>
  <c r="H4"/>
  <c r="I4"/>
  <c r="B4"/>
  <c r="I4" i="3"/>
  <c r="J4"/>
  <c r="K4"/>
  <c r="C4"/>
  <c r="D4"/>
  <c r="E4"/>
  <c r="F4"/>
  <c r="G4"/>
  <c r="H4"/>
  <c r="B4"/>
  <c r="J4" i="2"/>
  <c r="K4"/>
  <c r="F4"/>
  <c r="G4"/>
  <c r="H4"/>
  <c r="I4"/>
  <c r="C4"/>
  <c r="D4"/>
  <c r="E4"/>
  <c r="B4"/>
  <c r="K71" i="7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E7" i="5"/>
  <c r="D7"/>
  <c r="F7" s="1"/>
  <c r="K67" i="4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7" i="3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7" i="2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</calcChain>
</file>

<file path=xl/sharedStrings.xml><?xml version="1.0" encoding="utf-8"?>
<sst xmlns="http://schemas.openxmlformats.org/spreadsheetml/2006/main" count="544" uniqueCount="43">
  <si>
    <t>Stocks Analysis</t>
  </si>
  <si>
    <t>Stocks Adjusted Close Data</t>
  </si>
  <si>
    <t>APPLE</t>
  </si>
  <si>
    <t>AAPL</t>
  </si>
  <si>
    <t>NSFT</t>
  </si>
  <si>
    <t>MSFT</t>
  </si>
  <si>
    <t>GOOG</t>
  </si>
  <si>
    <t>Volume Analysis</t>
  </si>
  <si>
    <t>Comp Name</t>
  </si>
  <si>
    <t>Ticker</t>
  </si>
  <si>
    <t>Date</t>
  </si>
  <si>
    <t>Open</t>
  </si>
  <si>
    <t>High</t>
  </si>
  <si>
    <t>Low</t>
  </si>
  <si>
    <t>Close</t>
  </si>
  <si>
    <t>Adj Close</t>
  </si>
  <si>
    <t>Volume</t>
  </si>
  <si>
    <t>Daily returns</t>
  </si>
  <si>
    <t>Daily Returns APPLE</t>
  </si>
  <si>
    <t>Adj. close</t>
  </si>
  <si>
    <t>Correlation Matrix of Adjusted close Price</t>
  </si>
  <si>
    <t>Company</t>
  </si>
  <si>
    <t>Average volume</t>
  </si>
  <si>
    <t>Apple</t>
  </si>
  <si>
    <t>Green = strong positive</t>
  </si>
  <si>
    <t>Red = weak/negative</t>
  </si>
  <si>
    <t>Volume v/s Closing price APPLE</t>
  </si>
  <si>
    <t>Candle Stick Chart Open High Low Close APPLE</t>
  </si>
  <si>
    <t>MICROSOFT</t>
  </si>
  <si>
    <t>Daily Returns MICROSOFT</t>
  </si>
  <si>
    <t>Microsoft</t>
  </si>
  <si>
    <t>NETFLIX</t>
  </si>
  <si>
    <t>Daily Returns NETFLIX</t>
  </si>
  <si>
    <t>Netflix</t>
  </si>
  <si>
    <t>NFLX</t>
  </si>
  <si>
    <t>Candle Stick Chart Open High Low Close NETFLIX</t>
  </si>
  <si>
    <t>Google</t>
  </si>
  <si>
    <t>Daily Returns GOOGLE</t>
  </si>
  <si>
    <t>Candle Stick Chart Open High Low Close GOOGLE</t>
  </si>
  <si>
    <t>Volume v/s Closing price GOOGLE</t>
  </si>
  <si>
    <t>Volume v/s Closing price NETFLIX</t>
  </si>
  <si>
    <t>Volume v/s Closing price MICROSOFT</t>
  </si>
  <si>
    <t>Candle Stick Chart Open High Low Close Microsoft</t>
  </si>
</sst>
</file>

<file path=xl/styles.xml><?xml version="1.0" encoding="utf-8"?>
<styleSheet xmlns="http://schemas.openxmlformats.org/spreadsheetml/2006/main">
  <numFmts count="2">
    <numFmt numFmtId="164" formatCode="[$-409]dd\-mmm\-yy;@"/>
    <numFmt numFmtId="165" formatCode="#,##0.0"/>
  </numFmts>
  <fonts count="12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5" tint="-0.499984740745262"/>
      <name val="Book Antiqua"/>
      <family val="1"/>
    </font>
    <font>
      <b/>
      <sz val="11"/>
      <color theme="1"/>
      <name val="Book Antiqua"/>
      <family val="1"/>
    </font>
    <font>
      <sz val="12"/>
      <color rgb="FFC00000"/>
      <name val="Book Antiqua"/>
      <family val="1"/>
    </font>
    <font>
      <b/>
      <i/>
      <sz val="11"/>
      <color theme="1"/>
      <name val="Calibri"/>
      <family val="2"/>
    </font>
    <font>
      <sz val="11"/>
      <color theme="1"/>
      <name val="Book Antiqua"/>
      <family val="1"/>
    </font>
    <font>
      <sz val="14"/>
      <color theme="1"/>
      <name val="Book Antiqua"/>
      <family val="1"/>
    </font>
    <font>
      <b/>
      <sz val="16"/>
      <color theme="5" tint="-0.499984740745262"/>
      <name val="Book Antiqua"/>
      <family val="1"/>
    </font>
    <font>
      <b/>
      <sz val="12"/>
      <color theme="1"/>
      <name val="Book Antiqua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theme="5" tint="-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tted">
        <color theme="5" tint="-0.499984740745262"/>
      </top>
      <bottom style="dotted">
        <color theme="5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5" borderId="1" xfId="0" applyFill="1" applyBorder="1"/>
    <xf numFmtId="0" fontId="6" fillId="5" borderId="1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0" fillId="2" borderId="0" xfId="0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left"/>
    </xf>
    <xf numFmtId="0" fontId="7" fillId="6" borderId="2" xfId="0" applyFont="1" applyFill="1" applyBorder="1" applyAlignment="1">
      <alignment horizontal="center"/>
    </xf>
    <xf numFmtId="165" fontId="0" fillId="5" borderId="0" xfId="0" applyNumberFormat="1" applyFill="1"/>
    <xf numFmtId="0" fontId="3" fillId="6" borderId="0" xfId="0" applyFont="1" applyFill="1" applyBorder="1" applyAlignment="1"/>
    <xf numFmtId="0" fontId="2" fillId="7" borderId="0" xfId="0" applyFont="1" applyFill="1" applyBorder="1" applyAlignment="1"/>
    <xf numFmtId="0" fontId="2" fillId="8" borderId="0" xfId="0" applyFont="1" applyFill="1" applyBorder="1" applyAlignment="1"/>
    <xf numFmtId="0" fontId="0" fillId="0" borderId="3" xfId="0" applyBorder="1"/>
    <xf numFmtId="165" fontId="0" fillId="0" borderId="3" xfId="0" applyNumberFormat="1" applyBorder="1"/>
    <xf numFmtId="0" fontId="2" fillId="9" borderId="0" xfId="0" applyFont="1" applyFill="1" applyBorder="1" applyAlignment="1"/>
    <xf numFmtId="0" fontId="3" fillId="6" borderId="4" xfId="0" applyFont="1" applyFill="1" applyBorder="1" applyAlignment="1"/>
    <xf numFmtId="0" fontId="2" fillId="9" borderId="4" xfId="0" applyFont="1" applyFill="1" applyBorder="1" applyAlignment="1"/>
    <xf numFmtId="0" fontId="2" fillId="7" borderId="4" xfId="0" applyFont="1" applyFill="1" applyBorder="1" applyAlignment="1"/>
    <xf numFmtId="0" fontId="3" fillId="3" borderId="0" xfId="0" applyFont="1" applyFill="1" applyAlignment="1">
      <alignment horizontal="center" vertical="center"/>
    </xf>
    <xf numFmtId="164" fontId="2" fillId="10" borderId="0" xfId="0" applyNumberFormat="1" applyFont="1" applyFill="1" applyAlignment="1">
      <alignment horizontal="center"/>
    </xf>
    <xf numFmtId="0" fontId="0" fillId="0" borderId="0" xfId="0" applyFill="1" applyAlignment="1">
      <alignment horizontal="right"/>
    </xf>
    <xf numFmtId="164" fontId="0" fillId="0" borderId="0" xfId="0" applyNumberFormat="1" applyFill="1"/>
    <xf numFmtId="165" fontId="0" fillId="0" borderId="0" xfId="0" applyNumberFormat="1" applyFill="1"/>
    <xf numFmtId="164" fontId="0" fillId="0" borderId="0" xfId="0" applyNumberFormat="1" applyFill="1" applyAlignment="1">
      <alignment horizontal="left"/>
    </xf>
    <xf numFmtId="0" fontId="0" fillId="5" borderId="1" xfId="0" applyFill="1" applyBorder="1" applyAlignment="1">
      <alignment horizontal="right"/>
    </xf>
    <xf numFmtId="164" fontId="0" fillId="5" borderId="1" xfId="0" applyNumberFormat="1" applyFill="1" applyBorder="1"/>
    <xf numFmtId="165" fontId="8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/>
    <xf numFmtId="165" fontId="6" fillId="5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Border="1"/>
    <xf numFmtId="0" fontId="2" fillId="0" borderId="0" xfId="0" applyFont="1" applyFill="1" applyBorder="1" applyAlignment="1">
      <alignment horizontal="right"/>
    </xf>
    <xf numFmtId="165" fontId="0" fillId="0" borderId="0" xfId="0" applyNumberFormat="1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Border="1"/>
    <xf numFmtId="2" fontId="0" fillId="0" borderId="0" xfId="1" applyNumberFormat="1" applyFont="1" applyFill="1" applyBorder="1"/>
    <xf numFmtId="165" fontId="8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0" fillId="5" borderId="1" xfId="0" applyFill="1" applyBorder="1" applyAlignment="1"/>
    <xf numFmtId="164" fontId="0" fillId="0" borderId="5" xfId="0" applyNumberFormat="1" applyBorder="1" applyAlignment="1">
      <alignment horizontal="left"/>
    </xf>
    <xf numFmtId="165" fontId="0" fillId="0" borderId="5" xfId="0" applyNumberFormat="1" applyBorder="1"/>
    <xf numFmtId="0" fontId="3" fillId="3" borderId="0" xfId="0" applyFont="1" applyFill="1" applyAlignment="1">
      <alignment horizontal="right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'Apple Stock'!$D$11:$D$71</c:f>
              <c:numCache>
                <c:formatCode>[$-409]dd\-mmm\-yy;@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'Apple Stock'!$K$11:$K$71</c:f>
              <c:numCache>
                <c:formatCode>#,##0.0</c:formatCode>
                <c:ptCount val="61"/>
                <c:pt idx="0">
                  <c:v>150.68840026855401</c:v>
                </c:pt>
                <c:pt idx="1">
                  <c:v>149.63999938964801</c:v>
                </c:pt>
                <c:pt idx="2">
                  <c:v>150.009994506835</c:v>
                </c:pt>
                <c:pt idx="3">
                  <c:v>152.850006103515</c:v>
                </c:pt>
                <c:pt idx="4">
                  <c:v>152.19999694824199</c:v>
                </c:pt>
                <c:pt idx="5">
                  <c:v>154.33000183105401</c:v>
                </c:pt>
                <c:pt idx="6">
                  <c:v>152.71000671386699</c:v>
                </c:pt>
                <c:pt idx="7">
                  <c:v>151.55000305175699</c:v>
                </c:pt>
                <c:pt idx="8">
                  <c:v>147.47999572753901</c:v>
                </c:pt>
                <c:pt idx="9">
                  <c:v>147.91000366210901</c:v>
                </c:pt>
                <c:pt idx="10">
                  <c:v>148.39999389648401</c:v>
                </c:pt>
                <c:pt idx="11">
                  <c:v>145.71000671386699</c:v>
                </c:pt>
                <c:pt idx="12">
                  <c:v>146.919998168945</c:v>
                </c:pt>
                <c:pt idx="13">
                  <c:v>146.41000366210901</c:v>
                </c:pt>
                <c:pt idx="14">
                  <c:v>144.30999755859301</c:v>
                </c:pt>
                <c:pt idx="15">
                  <c:v>144.91000366210901</c:v>
                </c:pt>
                <c:pt idx="16">
                  <c:v>150.02999877929599</c:v>
                </c:pt>
                <c:pt idx="17">
                  <c:v>152.83000183105401</c:v>
                </c:pt>
                <c:pt idx="18">
                  <c:v>150.600006103515</c:v>
                </c:pt>
                <c:pt idx="19">
                  <c:v>151.86999511718699</c:v>
                </c:pt>
                <c:pt idx="20">
                  <c:v>149.58999633789</c:v>
                </c:pt>
                <c:pt idx="21">
                  <c:v>147.5</c:v>
                </c:pt>
                <c:pt idx="22">
                  <c:v>149.47000122070301</c:v>
                </c:pt>
                <c:pt idx="23">
                  <c:v>151.58999633789</c:v>
                </c:pt>
                <c:pt idx="24">
                  <c:v>151.99000549316401</c:v>
                </c:pt>
                <c:pt idx="25">
                  <c:v>154.850006103515</c:v>
                </c:pt>
                <c:pt idx="26">
                  <c:v>154</c:v>
                </c:pt>
                <c:pt idx="27">
                  <c:v>156.39999389648401</c:v>
                </c:pt>
                <c:pt idx="28">
                  <c:v>158.27999877929599</c:v>
                </c:pt>
                <c:pt idx="29">
                  <c:v>156.83000183105401</c:v>
                </c:pt>
                <c:pt idx="30">
                  <c:v>157.92999267578099</c:v>
                </c:pt>
                <c:pt idx="31">
                  <c:v>159.25</c:v>
                </c:pt>
                <c:pt idx="32">
                  <c:v>157.27999877929599</c:v>
                </c:pt>
                <c:pt idx="33">
                  <c:v>156.64999389648401</c:v>
                </c:pt>
                <c:pt idx="34">
                  <c:v>159.77000427246</c:v>
                </c:pt>
                <c:pt idx="35">
                  <c:v>161.36000061035099</c:v>
                </c:pt>
                <c:pt idx="36">
                  <c:v>163.89999389648401</c:v>
                </c:pt>
                <c:pt idx="37">
                  <c:v>165.169998168945</c:v>
                </c:pt>
                <c:pt idx="38">
                  <c:v>164.63000488281199</c:v>
                </c:pt>
                <c:pt idx="39">
                  <c:v>162.759994506835</c:v>
                </c:pt>
                <c:pt idx="40">
                  <c:v>163.66000366210901</c:v>
                </c:pt>
                <c:pt idx="41">
                  <c:v>161.02999877929599</c:v>
                </c:pt>
                <c:pt idx="42">
                  <c:v>159.80000305175699</c:v>
                </c:pt>
                <c:pt idx="43">
                  <c:v>159.100006103515</c:v>
                </c:pt>
                <c:pt idx="44">
                  <c:v>164.55999755859301</c:v>
                </c:pt>
                <c:pt idx="45">
                  <c:v>164.21000671386699</c:v>
                </c:pt>
                <c:pt idx="46">
                  <c:v>164.22999572753901</c:v>
                </c:pt>
                <c:pt idx="47">
                  <c:v>165.47000122070301</c:v>
                </c:pt>
                <c:pt idx="48">
                  <c:v>166.63000488281199</c:v>
                </c:pt>
                <c:pt idx="49">
                  <c:v>165.64999389648401</c:v>
                </c:pt>
                <c:pt idx="50">
                  <c:v>164.02000427246</c:v>
                </c:pt>
                <c:pt idx="51">
                  <c:v>164.33000183105401</c:v>
                </c:pt>
                <c:pt idx="52">
                  <c:v>162.77000427246</c:v>
                </c:pt>
                <c:pt idx="53">
                  <c:v>162.759994506835</c:v>
                </c:pt>
                <c:pt idx="54">
                  <c:v>167.41000366210901</c:v>
                </c:pt>
                <c:pt idx="55">
                  <c:v>168.67999267578099</c:v>
                </c:pt>
                <c:pt idx="56">
                  <c:v>168.58999633789</c:v>
                </c:pt>
                <c:pt idx="57">
                  <c:v>167.53999328613199</c:v>
                </c:pt>
                <c:pt idx="58">
                  <c:v>166.44999694824199</c:v>
                </c:pt>
                <c:pt idx="59">
                  <c:v>164.78999328613199</c:v>
                </c:pt>
                <c:pt idx="60">
                  <c:v>172.57000732421801</c:v>
                </c:pt>
              </c:numCache>
            </c:numRef>
          </c:val>
        </c:ser>
        <c:overlap val="100"/>
        <c:axId val="106583168"/>
        <c:axId val="106584704"/>
      </c:barChart>
      <c:dateAx>
        <c:axId val="106583168"/>
        <c:scaling>
          <c:orientation val="minMax"/>
        </c:scaling>
        <c:axPos val="b"/>
        <c:numFmt formatCode="[$-409]dd\-mmm\-yy;@" sourceLinked="1"/>
        <c:tickLblPos val="nextTo"/>
        <c:crossAx val="106584704"/>
        <c:crosses val="autoZero"/>
        <c:auto val="1"/>
        <c:lblOffset val="100"/>
      </c:dateAx>
      <c:valAx>
        <c:axId val="106584704"/>
        <c:scaling>
          <c:orientation val="minMax"/>
        </c:scaling>
        <c:axPos val="l"/>
        <c:majorGridlines/>
        <c:numFmt formatCode="#,##0.0" sourceLinked="1"/>
        <c:tickLblPos val="nextTo"/>
        <c:crossAx val="106583168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'Apple Stock'!$H$10:$H$71</c:f>
              <c:numCache>
                <c:formatCode>#,##0.0</c:formatCode>
                <c:ptCount val="62"/>
                <c:pt idx="0">
                  <c:v>154.64999389648401</c:v>
                </c:pt>
                <c:pt idx="1">
                  <c:v>151.919998168945</c:v>
                </c:pt>
                <c:pt idx="2">
                  <c:v>150.86999511718699</c:v>
                </c:pt>
                <c:pt idx="3">
                  <c:v>151.009994506835</c:v>
                </c:pt>
                <c:pt idx="4">
                  <c:v>153.850006103515</c:v>
                </c:pt>
                <c:pt idx="5">
                  <c:v>153.19999694824199</c:v>
                </c:pt>
                <c:pt idx="6">
                  <c:v>155.33000183105401</c:v>
                </c:pt>
                <c:pt idx="7">
                  <c:v>153.71000671386699</c:v>
                </c:pt>
                <c:pt idx="8">
                  <c:v>152.55000305175699</c:v>
                </c:pt>
                <c:pt idx="9">
                  <c:v>148.47999572753901</c:v>
                </c:pt>
                <c:pt idx="10">
                  <c:v>148.91000366210901</c:v>
                </c:pt>
                <c:pt idx="11">
                  <c:v>149.39999389648401</c:v>
                </c:pt>
                <c:pt idx="12">
                  <c:v>146.71000671386699</c:v>
                </c:pt>
                <c:pt idx="13">
                  <c:v>147.919998168945</c:v>
                </c:pt>
                <c:pt idx="14">
                  <c:v>147.41000366210901</c:v>
                </c:pt>
                <c:pt idx="15">
                  <c:v>145.30999755859301</c:v>
                </c:pt>
                <c:pt idx="16">
                  <c:v>145.91000366210901</c:v>
                </c:pt>
                <c:pt idx="17">
                  <c:v>151.02999877929599</c:v>
                </c:pt>
                <c:pt idx="18">
                  <c:v>153.83000183105401</c:v>
                </c:pt>
                <c:pt idx="19">
                  <c:v>151.600006103515</c:v>
                </c:pt>
                <c:pt idx="20">
                  <c:v>152.86999511718699</c:v>
                </c:pt>
                <c:pt idx="21">
                  <c:v>150.58999633789</c:v>
                </c:pt>
                <c:pt idx="22">
                  <c:v>148.5</c:v>
                </c:pt>
                <c:pt idx="23">
                  <c:v>150.47000122070301</c:v>
                </c:pt>
                <c:pt idx="24">
                  <c:v>152.58999633789</c:v>
                </c:pt>
                <c:pt idx="25">
                  <c:v>152.99000549316401</c:v>
                </c:pt>
                <c:pt idx="26">
                  <c:v>155.850006103515</c:v>
                </c:pt>
                <c:pt idx="27">
                  <c:v>155</c:v>
                </c:pt>
                <c:pt idx="28">
                  <c:v>157.39999389648401</c:v>
                </c:pt>
                <c:pt idx="29">
                  <c:v>159.27999877929599</c:v>
                </c:pt>
                <c:pt idx="30">
                  <c:v>157.83000183105401</c:v>
                </c:pt>
                <c:pt idx="31">
                  <c:v>158.92999267578099</c:v>
                </c:pt>
                <c:pt idx="32">
                  <c:v>160.25</c:v>
                </c:pt>
                <c:pt idx="33">
                  <c:v>158.27999877929599</c:v>
                </c:pt>
                <c:pt idx="34">
                  <c:v>157.64999389648401</c:v>
                </c:pt>
                <c:pt idx="35">
                  <c:v>160.77000427246</c:v>
                </c:pt>
                <c:pt idx="36">
                  <c:v>162.36000061035099</c:v>
                </c:pt>
                <c:pt idx="37">
                  <c:v>164.89999389648401</c:v>
                </c:pt>
                <c:pt idx="38">
                  <c:v>166.169998168945</c:v>
                </c:pt>
                <c:pt idx="39">
                  <c:v>165.63000488281199</c:v>
                </c:pt>
                <c:pt idx="40">
                  <c:v>163.759994506835</c:v>
                </c:pt>
                <c:pt idx="41">
                  <c:v>164.66000366210901</c:v>
                </c:pt>
                <c:pt idx="42">
                  <c:v>162.02999877929599</c:v>
                </c:pt>
                <c:pt idx="43">
                  <c:v>160.80000305175699</c:v>
                </c:pt>
                <c:pt idx="44">
                  <c:v>160.100006103515</c:v>
                </c:pt>
                <c:pt idx="45">
                  <c:v>165.55999755859301</c:v>
                </c:pt>
                <c:pt idx="46">
                  <c:v>165.21000671386699</c:v>
                </c:pt>
                <c:pt idx="47">
                  <c:v>165.22999572753901</c:v>
                </c:pt>
                <c:pt idx="48">
                  <c:v>166.47000122070301</c:v>
                </c:pt>
                <c:pt idx="49">
                  <c:v>167.63000488281199</c:v>
                </c:pt>
                <c:pt idx="50">
                  <c:v>166.64999389648401</c:v>
                </c:pt>
                <c:pt idx="51">
                  <c:v>165.02000427246</c:v>
                </c:pt>
                <c:pt idx="52">
                  <c:v>165.33000183105401</c:v>
                </c:pt>
                <c:pt idx="53">
                  <c:v>163.77000427246</c:v>
                </c:pt>
                <c:pt idx="54">
                  <c:v>163.759994506835</c:v>
                </c:pt>
                <c:pt idx="55">
                  <c:v>168.41000366210901</c:v>
                </c:pt>
                <c:pt idx="56">
                  <c:v>169.67999267578099</c:v>
                </c:pt>
                <c:pt idx="57">
                  <c:v>169.58999633789</c:v>
                </c:pt>
                <c:pt idx="58">
                  <c:v>168.53999328613199</c:v>
                </c:pt>
                <c:pt idx="59">
                  <c:v>167.44999694824199</c:v>
                </c:pt>
                <c:pt idx="60">
                  <c:v>165.78999328613199</c:v>
                </c:pt>
                <c:pt idx="61">
                  <c:v>173.57000732421801</c:v>
                </c:pt>
              </c:numCache>
            </c:numRef>
          </c:xVal>
          <c:yVal>
            <c:numRef>
              <c:f>'Apple Stock'!$J$10:$J$71</c:f>
              <c:numCache>
                <c:formatCode>#,##0.0</c:formatCode>
                <c:ptCount val="62"/>
                <c:pt idx="0">
                  <c:v>83322600</c:v>
                </c:pt>
                <c:pt idx="1">
                  <c:v>64120100</c:v>
                </c:pt>
                <c:pt idx="2">
                  <c:v>56007100</c:v>
                </c:pt>
                <c:pt idx="3">
                  <c:v>57450700</c:v>
                </c:pt>
                <c:pt idx="4">
                  <c:v>62199000</c:v>
                </c:pt>
                <c:pt idx="5">
                  <c:v>61707600</c:v>
                </c:pt>
                <c:pt idx="6">
                  <c:v>65573800</c:v>
                </c:pt>
                <c:pt idx="7">
                  <c:v>68167900</c:v>
                </c:pt>
                <c:pt idx="8">
                  <c:v>59144100</c:v>
                </c:pt>
                <c:pt idx="9">
                  <c:v>58867200</c:v>
                </c:pt>
                <c:pt idx="10">
                  <c:v>51011300</c:v>
                </c:pt>
                <c:pt idx="11">
                  <c:v>48394200</c:v>
                </c:pt>
                <c:pt idx="12">
                  <c:v>55469600</c:v>
                </c:pt>
                <c:pt idx="13">
                  <c:v>44998500</c:v>
                </c:pt>
                <c:pt idx="14">
                  <c:v>50547000</c:v>
                </c:pt>
                <c:pt idx="15">
                  <c:v>55479000</c:v>
                </c:pt>
                <c:pt idx="16">
                  <c:v>52238100</c:v>
                </c:pt>
                <c:pt idx="17">
                  <c:v>70732300</c:v>
                </c:pt>
                <c:pt idx="18">
                  <c:v>87558000</c:v>
                </c:pt>
                <c:pt idx="19">
                  <c:v>56182000</c:v>
                </c:pt>
                <c:pt idx="20">
                  <c:v>47204800</c:v>
                </c:pt>
                <c:pt idx="21">
                  <c:v>53833600</c:v>
                </c:pt>
                <c:pt idx="22">
                  <c:v>68572400</c:v>
                </c:pt>
                <c:pt idx="23">
                  <c:v>84457100</c:v>
                </c:pt>
                <c:pt idx="24">
                  <c:v>73695900</c:v>
                </c:pt>
                <c:pt idx="25">
                  <c:v>77167900</c:v>
                </c:pt>
                <c:pt idx="26">
                  <c:v>76161100</c:v>
                </c:pt>
                <c:pt idx="27">
                  <c:v>98944600</c:v>
                </c:pt>
                <c:pt idx="28">
                  <c:v>73641400</c:v>
                </c:pt>
                <c:pt idx="29">
                  <c:v>73938300</c:v>
                </c:pt>
                <c:pt idx="30">
                  <c:v>75701800</c:v>
                </c:pt>
                <c:pt idx="31">
                  <c:v>67622100</c:v>
                </c:pt>
                <c:pt idx="32">
                  <c:v>59196500</c:v>
                </c:pt>
                <c:pt idx="33">
                  <c:v>52390300</c:v>
                </c:pt>
                <c:pt idx="34">
                  <c:v>45992200</c:v>
                </c:pt>
                <c:pt idx="35">
                  <c:v>51305700</c:v>
                </c:pt>
                <c:pt idx="36">
                  <c:v>49501700</c:v>
                </c:pt>
                <c:pt idx="37">
                  <c:v>68749800</c:v>
                </c:pt>
                <c:pt idx="38">
                  <c:v>56976200</c:v>
                </c:pt>
                <c:pt idx="39">
                  <c:v>46278300</c:v>
                </c:pt>
                <c:pt idx="40">
                  <c:v>51511700</c:v>
                </c:pt>
                <c:pt idx="41">
                  <c:v>45390100</c:v>
                </c:pt>
                <c:pt idx="42">
                  <c:v>47716900</c:v>
                </c:pt>
                <c:pt idx="43">
                  <c:v>47644200</c:v>
                </c:pt>
                <c:pt idx="44">
                  <c:v>50133100</c:v>
                </c:pt>
                <c:pt idx="45">
                  <c:v>68445600</c:v>
                </c:pt>
                <c:pt idx="46">
                  <c:v>49386500</c:v>
                </c:pt>
                <c:pt idx="47">
                  <c:v>41516200</c:v>
                </c:pt>
                <c:pt idx="48">
                  <c:v>49923000</c:v>
                </c:pt>
                <c:pt idx="49">
                  <c:v>47720200</c:v>
                </c:pt>
                <c:pt idx="50">
                  <c:v>52456400</c:v>
                </c:pt>
                <c:pt idx="51">
                  <c:v>58337300</c:v>
                </c:pt>
                <c:pt idx="52">
                  <c:v>41949600</c:v>
                </c:pt>
                <c:pt idx="53">
                  <c:v>48714100</c:v>
                </c:pt>
                <c:pt idx="54">
                  <c:v>45498800</c:v>
                </c:pt>
                <c:pt idx="55">
                  <c:v>64902300</c:v>
                </c:pt>
                <c:pt idx="56">
                  <c:v>55209200</c:v>
                </c:pt>
                <c:pt idx="57">
                  <c:v>52472900</c:v>
                </c:pt>
                <c:pt idx="58">
                  <c:v>48425700</c:v>
                </c:pt>
                <c:pt idx="59">
                  <c:v>65136000</c:v>
                </c:pt>
                <c:pt idx="60">
                  <c:v>81235400</c:v>
                </c:pt>
                <c:pt idx="61">
                  <c:v>113316400</c:v>
                </c:pt>
              </c:numCache>
            </c:numRef>
          </c:yVal>
        </c:ser>
        <c:axId val="106754048"/>
        <c:axId val="106755584"/>
      </c:scatterChart>
      <c:valAx>
        <c:axId val="106754048"/>
        <c:scaling>
          <c:orientation val="minMax"/>
        </c:scaling>
        <c:axPos val="b"/>
        <c:numFmt formatCode="#,##0.0" sourceLinked="1"/>
        <c:majorTickMark val="none"/>
        <c:tickLblPos val="nextTo"/>
        <c:crossAx val="106755584"/>
        <c:crosses val="autoZero"/>
        <c:crossBetween val="midCat"/>
      </c:valAx>
      <c:valAx>
        <c:axId val="106755584"/>
        <c:scaling>
          <c:orientation val="minMax"/>
        </c:scaling>
        <c:axPos val="l"/>
        <c:numFmt formatCode="#,##0.0" sourceLinked="1"/>
        <c:majorTickMark val="none"/>
        <c:tickLblPos val="nextTo"/>
        <c:crossAx val="106754048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'Apple Stock'!$E$8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'Apple Stock'!$E$9:$E$71</c:f>
              <c:numCache>
                <c:formatCode>#,##0.0</c:formatCode>
                <c:ptCount val="63"/>
                <c:pt idx="1">
                  <c:v>150.63999938964801</c:v>
                </c:pt>
                <c:pt idx="2">
                  <c:v>153.88000488281199</c:v>
                </c:pt>
                <c:pt idx="3">
                  <c:v>153.77999877929599</c:v>
                </c:pt>
                <c:pt idx="4">
                  <c:v>149.46000671386699</c:v>
                </c:pt>
                <c:pt idx="5">
                  <c:v>150.94999694824199</c:v>
                </c:pt>
                <c:pt idx="6">
                  <c:v>152.11999511718699</c:v>
                </c:pt>
                <c:pt idx="7">
                  <c:v>153.11000061035099</c:v>
                </c:pt>
                <c:pt idx="8">
                  <c:v>153.509994506835</c:v>
                </c:pt>
                <c:pt idx="9">
                  <c:v>152.350006103515</c:v>
                </c:pt>
                <c:pt idx="10">
                  <c:v>150.19999694824199</c:v>
                </c:pt>
                <c:pt idx="11">
                  <c:v>148.86999511718699</c:v>
                </c:pt>
                <c:pt idx="12">
                  <c:v>150.08999633789</c:v>
                </c:pt>
                <c:pt idx="13">
                  <c:v>147.11000061035099</c:v>
                </c:pt>
                <c:pt idx="14">
                  <c:v>147.71000671386699</c:v>
                </c:pt>
                <c:pt idx="15">
                  <c:v>147.05000305175699</c:v>
                </c:pt>
                <c:pt idx="16">
                  <c:v>146.83000183105401</c:v>
                </c:pt>
                <c:pt idx="17">
                  <c:v>144.38000488281199</c:v>
                </c:pt>
                <c:pt idx="18">
                  <c:v>148.03999328613199</c:v>
                </c:pt>
                <c:pt idx="19">
                  <c:v>153.78999328613199</c:v>
                </c:pt>
                <c:pt idx="20">
                  <c:v>153.69999694824199</c:v>
                </c:pt>
                <c:pt idx="21">
                  <c:v>152.80999755859301</c:v>
                </c:pt>
                <c:pt idx="22">
                  <c:v>153.55999755859301</c:v>
                </c:pt>
                <c:pt idx="23">
                  <c:v>150.21000671386699</c:v>
                </c:pt>
                <c:pt idx="24">
                  <c:v>147.80999755859301</c:v>
                </c:pt>
                <c:pt idx="25">
                  <c:v>151.27999877929599</c:v>
                </c:pt>
                <c:pt idx="26">
                  <c:v>151.19000244140599</c:v>
                </c:pt>
                <c:pt idx="27">
                  <c:v>152.16000366210901</c:v>
                </c:pt>
                <c:pt idx="28">
                  <c:v>156.08000183105401</c:v>
                </c:pt>
                <c:pt idx="29">
                  <c:v>155.07000732421801</c:v>
                </c:pt>
                <c:pt idx="30">
                  <c:v>157.32000732421801</c:v>
                </c:pt>
                <c:pt idx="31">
                  <c:v>159.30000305175699</c:v>
                </c:pt>
                <c:pt idx="32">
                  <c:v>158.83000183105401</c:v>
                </c:pt>
                <c:pt idx="33">
                  <c:v>158.86000061035099</c:v>
                </c:pt>
                <c:pt idx="34">
                  <c:v>159.94000244140599</c:v>
                </c:pt>
                <c:pt idx="35">
                  <c:v>157.97000122070301</c:v>
                </c:pt>
                <c:pt idx="36">
                  <c:v>159.36999511718699</c:v>
                </c:pt>
                <c:pt idx="37">
                  <c:v>161.52999877929599</c:v>
                </c:pt>
                <c:pt idx="38">
                  <c:v>162.44000244140599</c:v>
                </c:pt>
                <c:pt idx="39">
                  <c:v>164.27000427246</c:v>
                </c:pt>
                <c:pt idx="40">
                  <c:v>166.600006103515</c:v>
                </c:pt>
                <c:pt idx="41">
                  <c:v>164.74000549316401</c:v>
                </c:pt>
                <c:pt idx="42">
                  <c:v>162.42999267578099</c:v>
                </c:pt>
                <c:pt idx="43">
                  <c:v>161.419998168945</c:v>
                </c:pt>
                <c:pt idx="44">
                  <c:v>162.350006103515</c:v>
                </c:pt>
                <c:pt idx="45">
                  <c:v>161.22000122070301</c:v>
                </c:pt>
                <c:pt idx="46">
                  <c:v>161.63000488281199</c:v>
                </c:pt>
                <c:pt idx="47">
                  <c:v>164.58999633789</c:v>
                </c:pt>
                <c:pt idx="48">
                  <c:v>165.08999633789</c:v>
                </c:pt>
                <c:pt idx="49">
                  <c:v>166.100006103515</c:v>
                </c:pt>
                <c:pt idx="50">
                  <c:v>165.80000305175699</c:v>
                </c:pt>
                <c:pt idx="51">
                  <c:v>166.08999633789</c:v>
                </c:pt>
                <c:pt idx="52">
                  <c:v>165.05000305175699</c:v>
                </c:pt>
                <c:pt idx="53">
                  <c:v>165</c:v>
                </c:pt>
                <c:pt idx="54">
                  <c:v>165.19000244140599</c:v>
                </c:pt>
                <c:pt idx="55">
                  <c:v>163.05999755859301</c:v>
                </c:pt>
                <c:pt idx="56">
                  <c:v>165.19000244140599</c:v>
                </c:pt>
                <c:pt idx="57">
                  <c:v>168.49000549316401</c:v>
                </c:pt>
                <c:pt idx="58">
                  <c:v>169.27999877929599</c:v>
                </c:pt>
                <c:pt idx="59">
                  <c:v>170.08999633789</c:v>
                </c:pt>
                <c:pt idx="60">
                  <c:v>169.5</c:v>
                </c:pt>
                <c:pt idx="61">
                  <c:v>164.88999938964801</c:v>
                </c:pt>
                <c:pt idx="62">
                  <c:v>170.97999572753901</c:v>
                </c:pt>
              </c:numCache>
            </c:numRef>
          </c:val>
        </c:ser>
        <c:axId val="106052608"/>
        <c:axId val="106062592"/>
      </c:barChart>
      <c:stockChart>
        <c:ser>
          <c:idx val="1"/>
          <c:order val="1"/>
          <c:tx>
            <c:strRef>
              <c:f>'Apple Stock'!$F$8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'Apple Stock'!$F$9:$F$71</c:f>
              <c:numCache>
                <c:formatCode>#,##0.0</c:formatCode>
                <c:ptCount val="63"/>
                <c:pt idx="1">
                  <c:v>155.22999572753901</c:v>
                </c:pt>
                <c:pt idx="2">
                  <c:v>154.58000183105401</c:v>
                </c:pt>
                <c:pt idx="3">
                  <c:v>154.33000183105401</c:v>
                </c:pt>
                <c:pt idx="4">
                  <c:v>151.33999633789</c:v>
                </c:pt>
                <c:pt idx="5">
                  <c:v>154.259994506835</c:v>
                </c:pt>
                <c:pt idx="6">
                  <c:v>153.77000427246</c:v>
                </c:pt>
                <c:pt idx="7">
                  <c:v>155.5</c:v>
                </c:pt>
                <c:pt idx="8">
                  <c:v>156.33000183105401</c:v>
                </c:pt>
                <c:pt idx="9">
                  <c:v>153</c:v>
                </c:pt>
                <c:pt idx="10">
                  <c:v>151.30000305175699</c:v>
                </c:pt>
                <c:pt idx="11">
                  <c:v>149.94999694824199</c:v>
                </c:pt>
                <c:pt idx="12">
                  <c:v>150.33999633789</c:v>
                </c:pt>
                <c:pt idx="13">
                  <c:v>147.19000244140599</c:v>
                </c:pt>
                <c:pt idx="14">
                  <c:v>149.169998168945</c:v>
                </c:pt>
                <c:pt idx="15">
                  <c:v>149.08000183105401</c:v>
                </c:pt>
                <c:pt idx="16">
                  <c:v>147.22999572753901</c:v>
                </c:pt>
                <c:pt idx="17">
                  <c:v>146.71000671386699</c:v>
                </c:pt>
                <c:pt idx="18">
                  <c:v>151.11000061035099</c:v>
                </c:pt>
                <c:pt idx="19">
                  <c:v>156.30000305175699</c:v>
                </c:pt>
                <c:pt idx="20">
                  <c:v>154.02999877929599</c:v>
                </c:pt>
                <c:pt idx="21">
                  <c:v>153.47000122070301</c:v>
                </c:pt>
                <c:pt idx="22">
                  <c:v>154.53999328613199</c:v>
                </c:pt>
                <c:pt idx="23">
                  <c:v>150.94000244140599</c:v>
                </c:pt>
                <c:pt idx="24">
                  <c:v>153.13999938964801</c:v>
                </c:pt>
                <c:pt idx="25">
                  <c:v>153.39999389648401</c:v>
                </c:pt>
                <c:pt idx="26">
                  <c:v>153.25</c:v>
                </c:pt>
                <c:pt idx="27">
                  <c:v>156.46000671386699</c:v>
                </c:pt>
                <c:pt idx="28">
                  <c:v>156.74000549316401</c:v>
                </c:pt>
                <c:pt idx="29">
                  <c:v>157.82000732421801</c:v>
                </c:pt>
                <c:pt idx="30">
                  <c:v>159.39999389648401</c:v>
                </c:pt>
                <c:pt idx="31">
                  <c:v>162.13999938964801</c:v>
                </c:pt>
                <c:pt idx="32">
                  <c:v>161.55000305175699</c:v>
                </c:pt>
                <c:pt idx="33">
                  <c:v>160.33999633789</c:v>
                </c:pt>
                <c:pt idx="34">
                  <c:v>160.77000427246</c:v>
                </c:pt>
                <c:pt idx="35">
                  <c:v>158.49000549316401</c:v>
                </c:pt>
                <c:pt idx="36">
                  <c:v>161.05000305175699</c:v>
                </c:pt>
                <c:pt idx="37">
                  <c:v>162.47000122070301</c:v>
                </c:pt>
                <c:pt idx="38">
                  <c:v>165</c:v>
                </c:pt>
                <c:pt idx="39">
                  <c:v>166.28999328613199</c:v>
                </c:pt>
                <c:pt idx="40">
                  <c:v>166.83999633789</c:v>
                </c:pt>
                <c:pt idx="41">
                  <c:v>165.05000305175699</c:v>
                </c:pt>
                <c:pt idx="42">
                  <c:v>164.96000671386699</c:v>
                </c:pt>
                <c:pt idx="43">
                  <c:v>162.02999877929599</c:v>
                </c:pt>
                <c:pt idx="44">
                  <c:v>162.36000061035099</c:v>
                </c:pt>
                <c:pt idx="45">
                  <c:v>162.05999755859301</c:v>
                </c:pt>
                <c:pt idx="46">
                  <c:v>165.80000305175699</c:v>
                </c:pt>
                <c:pt idx="47">
                  <c:v>166.32000732421801</c:v>
                </c:pt>
                <c:pt idx="48">
                  <c:v>165.38999938964801</c:v>
                </c:pt>
                <c:pt idx="49">
                  <c:v>167.41000366210901</c:v>
                </c:pt>
                <c:pt idx="50">
                  <c:v>168.16000366210901</c:v>
                </c:pt>
                <c:pt idx="51">
                  <c:v>167.86999511718699</c:v>
                </c:pt>
                <c:pt idx="52">
                  <c:v>166.44999694824199</c:v>
                </c:pt>
                <c:pt idx="53">
                  <c:v>165.600006103515</c:v>
                </c:pt>
                <c:pt idx="54">
                  <c:v>166.30999755859301</c:v>
                </c:pt>
                <c:pt idx="55">
                  <c:v>165.27999877929599</c:v>
                </c:pt>
                <c:pt idx="56">
                  <c:v>168.55999755859301</c:v>
                </c:pt>
                <c:pt idx="57">
                  <c:v>169.850006103515</c:v>
                </c:pt>
                <c:pt idx="58">
                  <c:v>170.44999694824199</c:v>
                </c:pt>
                <c:pt idx="59">
                  <c:v>170.350006103515</c:v>
                </c:pt>
                <c:pt idx="60">
                  <c:v>170.919998168945</c:v>
                </c:pt>
                <c:pt idx="61">
                  <c:v>167.03999328613199</c:v>
                </c:pt>
                <c:pt idx="62">
                  <c:v>174.30000305175699</c:v>
                </c:pt>
              </c:numCache>
            </c:numRef>
          </c:val>
        </c:ser>
        <c:ser>
          <c:idx val="2"/>
          <c:order val="2"/>
          <c:tx>
            <c:strRef>
              <c:f>'Apple Stock'!$G$8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'Apple Stock'!$G$9:$G$71</c:f>
              <c:numCache>
                <c:formatCode>#,##0.0</c:formatCode>
                <c:ptCount val="63"/>
                <c:pt idx="1">
                  <c:v>150.63999938964801</c:v>
                </c:pt>
                <c:pt idx="2">
                  <c:v>151.169998168945</c:v>
                </c:pt>
                <c:pt idx="3">
                  <c:v>150.419998168945</c:v>
                </c:pt>
                <c:pt idx="4">
                  <c:v>149.22000122070301</c:v>
                </c:pt>
                <c:pt idx="5">
                  <c:v>150.919998168945</c:v>
                </c:pt>
                <c:pt idx="6">
                  <c:v>150.86000061035099</c:v>
                </c:pt>
                <c:pt idx="7">
                  <c:v>152.88000488281199</c:v>
                </c:pt>
                <c:pt idx="8">
                  <c:v>153.350006103515</c:v>
                </c:pt>
                <c:pt idx="9">
                  <c:v>150.850006103515</c:v>
                </c:pt>
                <c:pt idx="10">
                  <c:v>148.41000366210901</c:v>
                </c:pt>
                <c:pt idx="11">
                  <c:v>147.16000366210901</c:v>
                </c:pt>
                <c:pt idx="12">
                  <c:v>147.24000549316401</c:v>
                </c:pt>
                <c:pt idx="13">
                  <c:v>145.72000122070301</c:v>
                </c:pt>
                <c:pt idx="14">
                  <c:v>147.44999694824199</c:v>
                </c:pt>
                <c:pt idx="15">
                  <c:v>146.83000183105401</c:v>
                </c:pt>
                <c:pt idx="16">
                  <c:v>145.009994506835</c:v>
                </c:pt>
                <c:pt idx="17">
                  <c:v>143.89999389648401</c:v>
                </c:pt>
                <c:pt idx="18">
                  <c:v>147.33000183105401</c:v>
                </c:pt>
                <c:pt idx="19">
                  <c:v>153.46000671386699</c:v>
                </c:pt>
                <c:pt idx="20">
                  <c:v>151.13000488281199</c:v>
                </c:pt>
                <c:pt idx="21">
                  <c:v>151.83000183105401</c:v>
                </c:pt>
                <c:pt idx="22">
                  <c:v>150.22999572753901</c:v>
                </c:pt>
                <c:pt idx="23">
                  <c:v>147.61000061035099</c:v>
                </c:pt>
                <c:pt idx="24">
                  <c:v>147.69999694824199</c:v>
                </c:pt>
                <c:pt idx="25">
                  <c:v>150.100006103515</c:v>
                </c:pt>
                <c:pt idx="26">
                  <c:v>149.919998168945</c:v>
                </c:pt>
                <c:pt idx="27">
                  <c:v>151.63999938964801</c:v>
                </c:pt>
                <c:pt idx="28">
                  <c:v>154.27999877929599</c:v>
                </c:pt>
                <c:pt idx="29">
                  <c:v>154.14999389648401</c:v>
                </c:pt>
                <c:pt idx="30">
                  <c:v>156.53999328613199</c:v>
                </c:pt>
                <c:pt idx="31">
                  <c:v>157.80999755859301</c:v>
                </c:pt>
                <c:pt idx="32">
                  <c:v>157.67999267578099</c:v>
                </c:pt>
                <c:pt idx="33">
                  <c:v>157.850006103515</c:v>
                </c:pt>
                <c:pt idx="34">
                  <c:v>157.86999511718699</c:v>
                </c:pt>
                <c:pt idx="35">
                  <c:v>155.97999572753901</c:v>
                </c:pt>
                <c:pt idx="36">
                  <c:v>159.350006103515</c:v>
                </c:pt>
                <c:pt idx="37">
                  <c:v>161.27000427246</c:v>
                </c:pt>
                <c:pt idx="38">
                  <c:v>161.91000366210901</c:v>
                </c:pt>
                <c:pt idx="39">
                  <c:v>164.22000122070301</c:v>
                </c:pt>
                <c:pt idx="40">
                  <c:v>165.11000061035099</c:v>
                </c:pt>
                <c:pt idx="41">
                  <c:v>161.80000305175699</c:v>
                </c:pt>
                <c:pt idx="42">
                  <c:v>162</c:v>
                </c:pt>
                <c:pt idx="43">
                  <c:v>160.08000183105401</c:v>
                </c:pt>
                <c:pt idx="44">
                  <c:v>160.509994506835</c:v>
                </c:pt>
                <c:pt idx="45">
                  <c:v>159.77999877929599</c:v>
                </c:pt>
                <c:pt idx="46">
                  <c:v>161.419998168945</c:v>
                </c:pt>
                <c:pt idx="47">
                  <c:v>163.82000732421801</c:v>
                </c:pt>
                <c:pt idx="48">
                  <c:v>164.02999877929599</c:v>
                </c:pt>
                <c:pt idx="49">
                  <c:v>165.64999389648401</c:v>
                </c:pt>
                <c:pt idx="50">
                  <c:v>165.53999328613199</c:v>
                </c:pt>
                <c:pt idx="51">
                  <c:v>165.55999755859301</c:v>
                </c:pt>
                <c:pt idx="52">
                  <c:v>164.49000549316401</c:v>
                </c:pt>
                <c:pt idx="53">
                  <c:v>163.88999938964801</c:v>
                </c:pt>
                <c:pt idx="54">
                  <c:v>163.72999572753901</c:v>
                </c:pt>
                <c:pt idx="55">
                  <c:v>162.80000305175699</c:v>
                </c:pt>
                <c:pt idx="56">
                  <c:v>165.19000244140599</c:v>
                </c:pt>
                <c:pt idx="57">
                  <c:v>167.88000488281199</c:v>
                </c:pt>
                <c:pt idx="58">
                  <c:v>168.63999938964801</c:v>
                </c:pt>
                <c:pt idx="59">
                  <c:v>167.53999328613199</c:v>
                </c:pt>
                <c:pt idx="60">
                  <c:v>167.16000366210901</c:v>
                </c:pt>
                <c:pt idx="61">
                  <c:v>164.30999755859301</c:v>
                </c:pt>
                <c:pt idx="62">
                  <c:v>170.759994506835</c:v>
                </c:pt>
              </c:numCache>
            </c:numRef>
          </c:val>
        </c:ser>
        <c:ser>
          <c:idx val="3"/>
          <c:order val="3"/>
          <c:tx>
            <c:strRef>
              <c:f>'Apple Stock'!$H$8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'Apple Stock'!$H$9:$H$71</c:f>
              <c:numCache>
                <c:formatCode>#,##0.0</c:formatCode>
                <c:ptCount val="63"/>
                <c:pt idx="1">
                  <c:v>154.64999389648401</c:v>
                </c:pt>
                <c:pt idx="2">
                  <c:v>151.919998168945</c:v>
                </c:pt>
                <c:pt idx="3">
                  <c:v>150.86999511718699</c:v>
                </c:pt>
                <c:pt idx="4">
                  <c:v>151.009994506835</c:v>
                </c:pt>
                <c:pt idx="5">
                  <c:v>153.850006103515</c:v>
                </c:pt>
                <c:pt idx="6">
                  <c:v>153.19999694824199</c:v>
                </c:pt>
                <c:pt idx="7">
                  <c:v>155.33000183105401</c:v>
                </c:pt>
                <c:pt idx="8">
                  <c:v>153.71000671386699</c:v>
                </c:pt>
                <c:pt idx="9">
                  <c:v>152.55000305175699</c:v>
                </c:pt>
                <c:pt idx="10">
                  <c:v>148.47999572753901</c:v>
                </c:pt>
                <c:pt idx="11">
                  <c:v>148.91000366210901</c:v>
                </c:pt>
                <c:pt idx="12">
                  <c:v>149.39999389648401</c:v>
                </c:pt>
                <c:pt idx="13">
                  <c:v>146.71000671386699</c:v>
                </c:pt>
                <c:pt idx="14">
                  <c:v>147.919998168945</c:v>
                </c:pt>
                <c:pt idx="15">
                  <c:v>147.41000366210901</c:v>
                </c:pt>
                <c:pt idx="16">
                  <c:v>145.30999755859301</c:v>
                </c:pt>
                <c:pt idx="17">
                  <c:v>145.91000366210901</c:v>
                </c:pt>
                <c:pt idx="18">
                  <c:v>151.02999877929599</c:v>
                </c:pt>
                <c:pt idx="19">
                  <c:v>153.83000183105401</c:v>
                </c:pt>
                <c:pt idx="20">
                  <c:v>151.600006103515</c:v>
                </c:pt>
                <c:pt idx="21">
                  <c:v>152.86999511718699</c:v>
                </c:pt>
                <c:pt idx="22">
                  <c:v>150.58999633789</c:v>
                </c:pt>
                <c:pt idx="23">
                  <c:v>148.5</c:v>
                </c:pt>
                <c:pt idx="24">
                  <c:v>150.47000122070301</c:v>
                </c:pt>
                <c:pt idx="25">
                  <c:v>152.58999633789</c:v>
                </c:pt>
                <c:pt idx="26">
                  <c:v>152.99000549316401</c:v>
                </c:pt>
                <c:pt idx="27">
                  <c:v>155.850006103515</c:v>
                </c:pt>
                <c:pt idx="28">
                  <c:v>155</c:v>
                </c:pt>
                <c:pt idx="29">
                  <c:v>157.39999389648401</c:v>
                </c:pt>
                <c:pt idx="30">
                  <c:v>159.27999877929599</c:v>
                </c:pt>
                <c:pt idx="31">
                  <c:v>157.83000183105401</c:v>
                </c:pt>
                <c:pt idx="32">
                  <c:v>158.92999267578099</c:v>
                </c:pt>
                <c:pt idx="33">
                  <c:v>160.25</c:v>
                </c:pt>
                <c:pt idx="34">
                  <c:v>158.27999877929599</c:v>
                </c:pt>
                <c:pt idx="35">
                  <c:v>157.64999389648401</c:v>
                </c:pt>
                <c:pt idx="36">
                  <c:v>160.77000427246</c:v>
                </c:pt>
                <c:pt idx="37">
                  <c:v>162.36000061035099</c:v>
                </c:pt>
                <c:pt idx="38">
                  <c:v>164.89999389648401</c:v>
                </c:pt>
                <c:pt idx="39">
                  <c:v>166.169998168945</c:v>
                </c:pt>
                <c:pt idx="40">
                  <c:v>165.63000488281199</c:v>
                </c:pt>
                <c:pt idx="41">
                  <c:v>163.759994506835</c:v>
                </c:pt>
                <c:pt idx="42">
                  <c:v>164.66000366210901</c:v>
                </c:pt>
                <c:pt idx="43">
                  <c:v>162.02999877929599</c:v>
                </c:pt>
                <c:pt idx="44">
                  <c:v>160.80000305175699</c:v>
                </c:pt>
                <c:pt idx="45">
                  <c:v>160.100006103515</c:v>
                </c:pt>
                <c:pt idx="46">
                  <c:v>165.55999755859301</c:v>
                </c:pt>
                <c:pt idx="47">
                  <c:v>165.21000671386699</c:v>
                </c:pt>
                <c:pt idx="48">
                  <c:v>165.22999572753901</c:v>
                </c:pt>
                <c:pt idx="49">
                  <c:v>166.47000122070301</c:v>
                </c:pt>
                <c:pt idx="50">
                  <c:v>167.63000488281199</c:v>
                </c:pt>
                <c:pt idx="51">
                  <c:v>166.64999389648401</c:v>
                </c:pt>
                <c:pt idx="52">
                  <c:v>165.02000427246</c:v>
                </c:pt>
                <c:pt idx="53">
                  <c:v>165.33000183105401</c:v>
                </c:pt>
                <c:pt idx="54">
                  <c:v>163.77000427246</c:v>
                </c:pt>
                <c:pt idx="55">
                  <c:v>163.759994506835</c:v>
                </c:pt>
                <c:pt idx="56">
                  <c:v>168.41000366210901</c:v>
                </c:pt>
                <c:pt idx="57">
                  <c:v>169.67999267578099</c:v>
                </c:pt>
                <c:pt idx="58">
                  <c:v>169.58999633789</c:v>
                </c:pt>
                <c:pt idx="59">
                  <c:v>168.53999328613199</c:v>
                </c:pt>
                <c:pt idx="60">
                  <c:v>167.44999694824199</c:v>
                </c:pt>
                <c:pt idx="61">
                  <c:v>165.78999328613199</c:v>
                </c:pt>
                <c:pt idx="62">
                  <c:v>173.57000732421801</c:v>
                </c:pt>
              </c:numCache>
            </c:numRef>
          </c:val>
        </c:ser>
        <c:ser>
          <c:idx val="4"/>
          <c:order val="4"/>
          <c:tx>
            <c:strRef>
              <c:f>'Apple Stock'!$I$8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'Apple Stock'!$I$9:$I$71</c:f>
              <c:numCache>
                <c:formatCode>#,##0.0</c:formatCode>
                <c:ptCount val="63"/>
                <c:pt idx="1">
                  <c:v>154.41423034667901</c:v>
                </c:pt>
                <c:pt idx="2">
                  <c:v>151.68840026855401</c:v>
                </c:pt>
                <c:pt idx="3">
                  <c:v>150.63999938964801</c:v>
                </c:pt>
                <c:pt idx="4">
                  <c:v>151.009994506835</c:v>
                </c:pt>
                <c:pt idx="5">
                  <c:v>153.850006103515</c:v>
                </c:pt>
                <c:pt idx="6">
                  <c:v>153.19999694824199</c:v>
                </c:pt>
                <c:pt idx="7">
                  <c:v>155.33000183105401</c:v>
                </c:pt>
                <c:pt idx="8">
                  <c:v>153.71000671386699</c:v>
                </c:pt>
                <c:pt idx="9">
                  <c:v>152.55000305175699</c:v>
                </c:pt>
                <c:pt idx="10">
                  <c:v>148.47999572753901</c:v>
                </c:pt>
                <c:pt idx="11">
                  <c:v>148.91000366210901</c:v>
                </c:pt>
                <c:pt idx="12">
                  <c:v>149.39999389648401</c:v>
                </c:pt>
                <c:pt idx="13">
                  <c:v>146.71000671386699</c:v>
                </c:pt>
                <c:pt idx="14">
                  <c:v>147.919998168945</c:v>
                </c:pt>
                <c:pt idx="15">
                  <c:v>147.41000366210901</c:v>
                </c:pt>
                <c:pt idx="16">
                  <c:v>145.30999755859301</c:v>
                </c:pt>
                <c:pt idx="17">
                  <c:v>145.91000366210901</c:v>
                </c:pt>
                <c:pt idx="18">
                  <c:v>151.02999877929599</c:v>
                </c:pt>
                <c:pt idx="19">
                  <c:v>153.83000183105401</c:v>
                </c:pt>
                <c:pt idx="20">
                  <c:v>151.600006103515</c:v>
                </c:pt>
                <c:pt idx="21">
                  <c:v>152.86999511718699</c:v>
                </c:pt>
                <c:pt idx="22">
                  <c:v>150.58999633789</c:v>
                </c:pt>
                <c:pt idx="23">
                  <c:v>148.5</c:v>
                </c:pt>
                <c:pt idx="24">
                  <c:v>150.47000122070301</c:v>
                </c:pt>
                <c:pt idx="25">
                  <c:v>152.58999633789</c:v>
                </c:pt>
                <c:pt idx="26">
                  <c:v>152.99000549316401</c:v>
                </c:pt>
                <c:pt idx="27">
                  <c:v>155.850006103515</c:v>
                </c:pt>
                <c:pt idx="28">
                  <c:v>155</c:v>
                </c:pt>
                <c:pt idx="29">
                  <c:v>157.39999389648401</c:v>
                </c:pt>
                <c:pt idx="30">
                  <c:v>159.27999877929599</c:v>
                </c:pt>
                <c:pt idx="31">
                  <c:v>157.83000183105401</c:v>
                </c:pt>
                <c:pt idx="32">
                  <c:v>158.92999267578099</c:v>
                </c:pt>
                <c:pt idx="33">
                  <c:v>160.25</c:v>
                </c:pt>
                <c:pt idx="34">
                  <c:v>158.27999877929599</c:v>
                </c:pt>
                <c:pt idx="35">
                  <c:v>157.64999389648401</c:v>
                </c:pt>
                <c:pt idx="36">
                  <c:v>160.77000427246</c:v>
                </c:pt>
                <c:pt idx="37">
                  <c:v>162.36000061035099</c:v>
                </c:pt>
                <c:pt idx="38">
                  <c:v>164.89999389648401</c:v>
                </c:pt>
                <c:pt idx="39">
                  <c:v>166.169998168945</c:v>
                </c:pt>
                <c:pt idx="40">
                  <c:v>165.63000488281199</c:v>
                </c:pt>
                <c:pt idx="41">
                  <c:v>163.759994506835</c:v>
                </c:pt>
                <c:pt idx="42">
                  <c:v>164.66000366210901</c:v>
                </c:pt>
                <c:pt idx="43">
                  <c:v>162.02999877929599</c:v>
                </c:pt>
                <c:pt idx="44">
                  <c:v>160.80000305175699</c:v>
                </c:pt>
                <c:pt idx="45">
                  <c:v>160.100006103515</c:v>
                </c:pt>
                <c:pt idx="46">
                  <c:v>165.55999755859301</c:v>
                </c:pt>
                <c:pt idx="47">
                  <c:v>165.21000671386699</c:v>
                </c:pt>
                <c:pt idx="48">
                  <c:v>165.22999572753901</c:v>
                </c:pt>
                <c:pt idx="49">
                  <c:v>166.47000122070301</c:v>
                </c:pt>
                <c:pt idx="50">
                  <c:v>167.63000488281199</c:v>
                </c:pt>
                <c:pt idx="51">
                  <c:v>166.64999389648401</c:v>
                </c:pt>
                <c:pt idx="52">
                  <c:v>165.02000427246</c:v>
                </c:pt>
                <c:pt idx="53">
                  <c:v>165.33000183105401</c:v>
                </c:pt>
                <c:pt idx="54">
                  <c:v>163.77000427246</c:v>
                </c:pt>
                <c:pt idx="55">
                  <c:v>163.759994506835</c:v>
                </c:pt>
                <c:pt idx="56">
                  <c:v>168.41000366210901</c:v>
                </c:pt>
                <c:pt idx="57">
                  <c:v>169.67999267578099</c:v>
                </c:pt>
                <c:pt idx="58">
                  <c:v>169.58999633789</c:v>
                </c:pt>
                <c:pt idx="59">
                  <c:v>168.53999328613199</c:v>
                </c:pt>
                <c:pt idx="60">
                  <c:v>167.44999694824199</c:v>
                </c:pt>
                <c:pt idx="61">
                  <c:v>165.78999328613199</c:v>
                </c:pt>
                <c:pt idx="62">
                  <c:v>173.57000732421801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106078208"/>
        <c:axId val="106064128"/>
      </c:stockChart>
      <c:catAx>
        <c:axId val="106052608"/>
        <c:scaling>
          <c:orientation val="minMax"/>
        </c:scaling>
        <c:axPos val="b"/>
        <c:majorTickMark val="none"/>
        <c:tickLblPos val="nextTo"/>
        <c:crossAx val="106062592"/>
        <c:crosses val="autoZero"/>
        <c:auto val="1"/>
        <c:lblAlgn val="ctr"/>
        <c:lblOffset val="100"/>
      </c:catAx>
      <c:valAx>
        <c:axId val="106062592"/>
        <c:scaling>
          <c:orientation val="minMax"/>
        </c:scaling>
        <c:axPos val="l"/>
        <c:numFmt formatCode="General" sourceLinked="1"/>
        <c:majorTickMark val="none"/>
        <c:tickLblPos val="nextTo"/>
        <c:crossAx val="106052608"/>
        <c:crosses val="autoZero"/>
        <c:crossBetween val="between"/>
      </c:valAx>
      <c:valAx>
        <c:axId val="106064128"/>
        <c:scaling>
          <c:orientation val="minMax"/>
        </c:scaling>
        <c:axPos val="r"/>
        <c:numFmt formatCode="General" sourceLinked="1"/>
        <c:tickLblPos val="nextTo"/>
        <c:crossAx val="106078208"/>
        <c:crosses val="max"/>
        <c:crossBetween val="between"/>
      </c:valAx>
      <c:catAx>
        <c:axId val="106078208"/>
        <c:scaling>
          <c:orientation val="minMax"/>
        </c:scaling>
        <c:delete val="1"/>
        <c:axPos val="b"/>
        <c:tickLblPos val="nextTo"/>
        <c:crossAx val="106064128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'[1]All Data figure'!$D$77:$D$137</c:f>
              <c:numCache>
                <c:formatCode>General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'[1]All Data figure'!$K$77:$K$137</c:f>
              <c:numCache>
                <c:formatCode>General</c:formatCode>
                <c:ptCount val="61"/>
                <c:pt idx="0">
                  <c:v>265.06359863281199</c:v>
                </c:pt>
                <c:pt idx="1">
                  <c:v>261.96136474609301</c:v>
                </c:pt>
                <c:pt idx="2">
                  <c:v>261.44265747070301</c:v>
                </c:pt>
                <c:pt idx="3">
                  <c:v>269.64212036132801</c:v>
                </c:pt>
                <c:pt idx="4">
                  <c:v>270.49002075195301</c:v>
                </c:pt>
                <c:pt idx="5">
                  <c:v>268.32000732421801</c:v>
                </c:pt>
                <c:pt idx="6">
                  <c:v>261.14999389648398</c:v>
                </c:pt>
                <c:pt idx="7">
                  <c:v>257.05999755859301</c:v>
                </c:pt>
                <c:pt idx="8">
                  <c:v>251.669998168945</c:v>
                </c:pt>
                <c:pt idx="9">
                  <c:v>250.509994506835</c:v>
                </c:pt>
                <c:pt idx="10">
                  <c:v>253.77000427246</c:v>
                </c:pt>
                <c:pt idx="11">
                  <c:v>248.22000122070301</c:v>
                </c:pt>
                <c:pt idx="12">
                  <c:v>249.16000366210901</c:v>
                </c:pt>
                <c:pt idx="13">
                  <c:v>248.419998168945</c:v>
                </c:pt>
                <c:pt idx="14">
                  <c:v>245.27000427246</c:v>
                </c:pt>
                <c:pt idx="15">
                  <c:v>250.11000061035099</c:v>
                </c:pt>
                <c:pt idx="16">
                  <c:v>254.28999328613199</c:v>
                </c:pt>
                <c:pt idx="17">
                  <c:v>255.86999511718699</c:v>
                </c:pt>
                <c:pt idx="18">
                  <c:v>253.14999389648401</c:v>
                </c:pt>
                <c:pt idx="19">
                  <c:v>252.69999694824199</c:v>
                </c:pt>
                <c:pt idx="20">
                  <c:v>251.32000732421801</c:v>
                </c:pt>
                <c:pt idx="21">
                  <c:v>247.58999633789</c:v>
                </c:pt>
                <c:pt idx="22">
                  <c:v>252.919998168945</c:v>
                </c:pt>
                <c:pt idx="23">
                  <c:v>259.79000854492102</c:v>
                </c:pt>
                <c:pt idx="24">
                  <c:v>264.44000244140602</c:v>
                </c:pt>
                <c:pt idx="25">
                  <c:v>275.20001220703102</c:v>
                </c:pt>
                <c:pt idx="26">
                  <c:v>278.42999267578102</c:v>
                </c:pt>
                <c:pt idx="27">
                  <c:v>271.23001098632801</c:v>
                </c:pt>
                <c:pt idx="28">
                  <c:v>272.77999877929602</c:v>
                </c:pt>
                <c:pt idx="29">
                  <c:v>271.29000854492102</c:v>
                </c:pt>
                <c:pt idx="30">
                  <c:v>276.66000366210898</c:v>
                </c:pt>
                <c:pt idx="31">
                  <c:v>279.57000732421801</c:v>
                </c:pt>
                <c:pt idx="32">
                  <c:v>275.38000488281199</c:v>
                </c:pt>
                <c:pt idx="33">
                  <c:v>274.23001098632801</c:v>
                </c:pt>
                <c:pt idx="34">
                  <c:v>279.510009765625</c:v>
                </c:pt>
                <c:pt idx="35">
                  <c:v>283.04998779296801</c:v>
                </c:pt>
                <c:pt idx="36">
                  <c:v>287.29998779296801</c:v>
                </c:pt>
                <c:pt idx="37">
                  <c:v>286.23001098632801</c:v>
                </c:pt>
                <c:pt idx="38">
                  <c:v>286.17999267578102</c:v>
                </c:pt>
                <c:pt idx="39">
                  <c:v>283.33999633789</c:v>
                </c:pt>
                <c:pt idx="40">
                  <c:v>290.600006103515</c:v>
                </c:pt>
                <c:pt idx="41">
                  <c:v>288.39001464843699</c:v>
                </c:pt>
                <c:pt idx="42">
                  <c:v>281.829986572265</c:v>
                </c:pt>
                <c:pt idx="43">
                  <c:v>282.489990234375</c:v>
                </c:pt>
                <c:pt idx="44">
                  <c:v>288.83999633789</c:v>
                </c:pt>
                <c:pt idx="45">
                  <c:v>285.14001464843699</c:v>
                </c:pt>
                <c:pt idx="46">
                  <c:v>287.79998779296801</c:v>
                </c:pt>
                <c:pt idx="47">
                  <c:v>287.36999511718699</c:v>
                </c:pt>
                <c:pt idx="48">
                  <c:v>287.45001220703102</c:v>
                </c:pt>
                <c:pt idx="49">
                  <c:v>285.10998535156199</c:v>
                </c:pt>
                <c:pt idx="50">
                  <c:v>284.760009765625</c:v>
                </c:pt>
                <c:pt idx="51">
                  <c:v>280.76998901367102</c:v>
                </c:pt>
                <c:pt idx="52">
                  <c:v>274.42001342773398</c:v>
                </c:pt>
                <c:pt idx="53">
                  <c:v>294.36999511718699</c:v>
                </c:pt>
                <c:pt idx="54">
                  <c:v>303.829986572265</c:v>
                </c:pt>
                <c:pt idx="55">
                  <c:v>306.260009765625</c:v>
                </c:pt>
                <c:pt idx="56">
                  <c:v>304.55999755859301</c:v>
                </c:pt>
                <c:pt idx="57">
                  <c:v>304.41000366210898</c:v>
                </c:pt>
                <c:pt idx="58">
                  <c:v>303.39999389648398</c:v>
                </c:pt>
                <c:pt idx="59">
                  <c:v>304.41000366210898</c:v>
                </c:pt>
                <c:pt idx="60">
                  <c:v>309.64999389648398</c:v>
                </c:pt>
              </c:numCache>
            </c:numRef>
          </c:val>
        </c:ser>
        <c:overlap val="100"/>
        <c:axId val="43208064"/>
        <c:axId val="78570624"/>
      </c:barChart>
      <c:catAx>
        <c:axId val="43208064"/>
        <c:scaling>
          <c:orientation val="minMax"/>
        </c:scaling>
        <c:axPos val="b"/>
        <c:numFmt formatCode="General" sourceLinked="1"/>
        <c:tickLblPos val="nextTo"/>
        <c:crossAx val="78570624"/>
        <c:crosses val="autoZero"/>
        <c:auto val="1"/>
        <c:lblAlgn val="ctr"/>
        <c:lblOffset val="100"/>
      </c:catAx>
      <c:valAx>
        <c:axId val="78570624"/>
        <c:scaling>
          <c:orientation val="minMax"/>
        </c:scaling>
        <c:axPos val="l"/>
        <c:majorGridlines/>
        <c:numFmt formatCode="General" sourceLinked="1"/>
        <c:tickLblPos val="nextTo"/>
        <c:crossAx val="43208064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'[1]All Data figure'!$H$76:$H$137</c:f>
              <c:numCache>
                <c:formatCode>General</c:formatCode>
                <c:ptCount val="62"/>
                <c:pt idx="0">
                  <c:v>267.55999755859301</c:v>
                </c:pt>
                <c:pt idx="1">
                  <c:v>266.73001098632801</c:v>
                </c:pt>
                <c:pt idx="2">
                  <c:v>263.61999511718699</c:v>
                </c:pt>
                <c:pt idx="3">
                  <c:v>263.100006103515</c:v>
                </c:pt>
                <c:pt idx="4">
                  <c:v>271.32000732421801</c:v>
                </c:pt>
                <c:pt idx="5">
                  <c:v>272.17001342773398</c:v>
                </c:pt>
                <c:pt idx="6">
                  <c:v>269.32000732421801</c:v>
                </c:pt>
                <c:pt idx="7">
                  <c:v>262.14999389648398</c:v>
                </c:pt>
                <c:pt idx="8">
                  <c:v>258.05999755859301</c:v>
                </c:pt>
                <c:pt idx="9">
                  <c:v>252.669998168945</c:v>
                </c:pt>
                <c:pt idx="10">
                  <c:v>251.509994506835</c:v>
                </c:pt>
                <c:pt idx="11">
                  <c:v>254.77000427246</c:v>
                </c:pt>
                <c:pt idx="12">
                  <c:v>249.22000122070301</c:v>
                </c:pt>
                <c:pt idx="13">
                  <c:v>250.16000366210901</c:v>
                </c:pt>
                <c:pt idx="14">
                  <c:v>249.419998168945</c:v>
                </c:pt>
                <c:pt idx="15">
                  <c:v>246.27000427246</c:v>
                </c:pt>
                <c:pt idx="16">
                  <c:v>251.11000061035099</c:v>
                </c:pt>
                <c:pt idx="17">
                  <c:v>255.28999328613199</c:v>
                </c:pt>
                <c:pt idx="18">
                  <c:v>256.86999511718699</c:v>
                </c:pt>
                <c:pt idx="19">
                  <c:v>254.14999389648401</c:v>
                </c:pt>
                <c:pt idx="20">
                  <c:v>253.69999694824199</c:v>
                </c:pt>
                <c:pt idx="21">
                  <c:v>252.32000732421801</c:v>
                </c:pt>
                <c:pt idx="22">
                  <c:v>248.58999633789</c:v>
                </c:pt>
                <c:pt idx="23">
                  <c:v>253.919998168945</c:v>
                </c:pt>
                <c:pt idx="24">
                  <c:v>260.79000854492102</c:v>
                </c:pt>
                <c:pt idx="25">
                  <c:v>265.44000244140602</c:v>
                </c:pt>
                <c:pt idx="26">
                  <c:v>276.20001220703102</c:v>
                </c:pt>
                <c:pt idx="27">
                  <c:v>279.42999267578102</c:v>
                </c:pt>
                <c:pt idx="28">
                  <c:v>272.23001098632801</c:v>
                </c:pt>
                <c:pt idx="29">
                  <c:v>273.77999877929602</c:v>
                </c:pt>
                <c:pt idx="30">
                  <c:v>272.29000854492102</c:v>
                </c:pt>
                <c:pt idx="31">
                  <c:v>277.66000366210898</c:v>
                </c:pt>
                <c:pt idx="32">
                  <c:v>280.57000732421801</c:v>
                </c:pt>
                <c:pt idx="33">
                  <c:v>276.38000488281199</c:v>
                </c:pt>
                <c:pt idx="34">
                  <c:v>275.23001098632801</c:v>
                </c:pt>
                <c:pt idx="35">
                  <c:v>280.510009765625</c:v>
                </c:pt>
                <c:pt idx="36">
                  <c:v>284.04998779296801</c:v>
                </c:pt>
                <c:pt idx="37">
                  <c:v>288.29998779296801</c:v>
                </c:pt>
                <c:pt idx="38">
                  <c:v>287.23001098632801</c:v>
                </c:pt>
                <c:pt idx="39">
                  <c:v>287.17999267578102</c:v>
                </c:pt>
                <c:pt idx="40">
                  <c:v>284.33999633789</c:v>
                </c:pt>
                <c:pt idx="41">
                  <c:v>291.600006103515</c:v>
                </c:pt>
                <c:pt idx="42">
                  <c:v>289.39001464843699</c:v>
                </c:pt>
                <c:pt idx="43">
                  <c:v>282.829986572265</c:v>
                </c:pt>
                <c:pt idx="44">
                  <c:v>283.489990234375</c:v>
                </c:pt>
                <c:pt idx="45">
                  <c:v>289.83999633789</c:v>
                </c:pt>
                <c:pt idx="46">
                  <c:v>286.14001464843699</c:v>
                </c:pt>
                <c:pt idx="47">
                  <c:v>288.79998779296801</c:v>
                </c:pt>
                <c:pt idx="48">
                  <c:v>288.36999511718699</c:v>
                </c:pt>
                <c:pt idx="49">
                  <c:v>288.45001220703102</c:v>
                </c:pt>
                <c:pt idx="50">
                  <c:v>286.10998535156199</c:v>
                </c:pt>
                <c:pt idx="51">
                  <c:v>285.760009765625</c:v>
                </c:pt>
                <c:pt idx="52">
                  <c:v>281.76998901367102</c:v>
                </c:pt>
                <c:pt idx="53">
                  <c:v>275.42001342773398</c:v>
                </c:pt>
                <c:pt idx="54">
                  <c:v>295.36999511718699</c:v>
                </c:pt>
                <c:pt idx="55">
                  <c:v>304.829986572265</c:v>
                </c:pt>
                <c:pt idx="56">
                  <c:v>307.260009765625</c:v>
                </c:pt>
                <c:pt idx="57">
                  <c:v>305.55999755859301</c:v>
                </c:pt>
                <c:pt idx="58">
                  <c:v>305.41000366210898</c:v>
                </c:pt>
                <c:pt idx="59">
                  <c:v>304.39999389648398</c:v>
                </c:pt>
                <c:pt idx="60">
                  <c:v>305.41000366210898</c:v>
                </c:pt>
                <c:pt idx="61">
                  <c:v>310.64999389648398</c:v>
                </c:pt>
              </c:numCache>
            </c:numRef>
          </c:xVal>
          <c:yVal>
            <c:numRef>
              <c:f>'[1]All Data figure'!$J$76:$J$137</c:f>
              <c:numCache>
                <c:formatCode>General</c:formatCode>
                <c:ptCount val="62"/>
                <c:pt idx="0">
                  <c:v>50841400</c:v>
                </c:pt>
                <c:pt idx="1">
                  <c:v>54686000</c:v>
                </c:pt>
                <c:pt idx="2">
                  <c:v>42375100</c:v>
                </c:pt>
                <c:pt idx="3">
                  <c:v>25818500</c:v>
                </c:pt>
                <c:pt idx="4">
                  <c:v>44630900</c:v>
                </c:pt>
                <c:pt idx="5">
                  <c:v>37047900</c:v>
                </c:pt>
                <c:pt idx="6">
                  <c:v>28922400</c:v>
                </c:pt>
                <c:pt idx="7">
                  <c:v>29603600</c:v>
                </c:pt>
                <c:pt idx="8">
                  <c:v>30000100</c:v>
                </c:pt>
                <c:pt idx="9">
                  <c:v>28397400</c:v>
                </c:pt>
                <c:pt idx="10">
                  <c:v>22491100</c:v>
                </c:pt>
                <c:pt idx="11">
                  <c:v>29219100</c:v>
                </c:pt>
                <c:pt idx="12">
                  <c:v>24990900</c:v>
                </c:pt>
                <c:pt idx="13">
                  <c:v>21190000</c:v>
                </c:pt>
                <c:pt idx="14">
                  <c:v>22491000</c:v>
                </c:pt>
                <c:pt idx="15">
                  <c:v>27565300</c:v>
                </c:pt>
                <c:pt idx="16">
                  <c:v>24808200</c:v>
                </c:pt>
                <c:pt idx="17">
                  <c:v>30760100</c:v>
                </c:pt>
                <c:pt idx="18">
                  <c:v>24109800</c:v>
                </c:pt>
                <c:pt idx="19">
                  <c:v>21473200</c:v>
                </c:pt>
                <c:pt idx="20">
                  <c:v>17340200</c:v>
                </c:pt>
                <c:pt idx="21">
                  <c:v>26653400</c:v>
                </c:pt>
                <c:pt idx="22">
                  <c:v>28333900</c:v>
                </c:pt>
                <c:pt idx="23">
                  <c:v>33339700</c:v>
                </c:pt>
                <c:pt idx="24">
                  <c:v>33620300</c:v>
                </c:pt>
                <c:pt idx="25">
                  <c:v>46028000</c:v>
                </c:pt>
                <c:pt idx="26">
                  <c:v>54768800</c:v>
                </c:pt>
                <c:pt idx="27">
                  <c:v>69527400</c:v>
                </c:pt>
                <c:pt idx="28">
                  <c:v>43466600</c:v>
                </c:pt>
                <c:pt idx="29">
                  <c:v>34558700</c:v>
                </c:pt>
                <c:pt idx="30">
                  <c:v>34873300</c:v>
                </c:pt>
                <c:pt idx="31">
                  <c:v>36610900</c:v>
                </c:pt>
                <c:pt idx="32">
                  <c:v>28172000</c:v>
                </c:pt>
                <c:pt idx="33">
                  <c:v>26840200</c:v>
                </c:pt>
                <c:pt idx="34">
                  <c:v>21878600</c:v>
                </c:pt>
                <c:pt idx="35">
                  <c:v>25087000</c:v>
                </c:pt>
                <c:pt idx="36">
                  <c:v>25053400</c:v>
                </c:pt>
                <c:pt idx="37">
                  <c:v>32766000</c:v>
                </c:pt>
                <c:pt idx="38">
                  <c:v>24883300</c:v>
                </c:pt>
                <c:pt idx="39">
                  <c:v>25824300</c:v>
                </c:pt>
                <c:pt idx="40">
                  <c:v>22064800</c:v>
                </c:pt>
                <c:pt idx="41">
                  <c:v>29770300</c:v>
                </c:pt>
                <c:pt idx="42">
                  <c:v>23103000</c:v>
                </c:pt>
                <c:pt idx="43">
                  <c:v>27276600</c:v>
                </c:pt>
                <c:pt idx="44">
                  <c:v>27403400</c:v>
                </c:pt>
                <c:pt idx="45">
                  <c:v>24222700</c:v>
                </c:pt>
                <c:pt idx="46">
                  <c:v>20987900</c:v>
                </c:pt>
                <c:pt idx="47">
                  <c:v>23836200</c:v>
                </c:pt>
                <c:pt idx="48">
                  <c:v>20161800</c:v>
                </c:pt>
                <c:pt idx="49">
                  <c:v>17150300</c:v>
                </c:pt>
                <c:pt idx="50">
                  <c:v>23244400</c:v>
                </c:pt>
                <c:pt idx="51">
                  <c:v>21676400</c:v>
                </c:pt>
                <c:pt idx="52">
                  <c:v>26611000</c:v>
                </c:pt>
                <c:pt idx="53">
                  <c:v>45772200</c:v>
                </c:pt>
                <c:pt idx="54">
                  <c:v>64599200</c:v>
                </c:pt>
                <c:pt idx="55">
                  <c:v>46462600</c:v>
                </c:pt>
                <c:pt idx="56">
                  <c:v>36446700</c:v>
                </c:pt>
                <c:pt idx="57">
                  <c:v>21294100</c:v>
                </c:pt>
                <c:pt idx="58">
                  <c:v>26404400</c:v>
                </c:pt>
                <c:pt idx="59">
                  <c:v>22360800</c:v>
                </c:pt>
                <c:pt idx="60">
                  <c:v>22519900</c:v>
                </c:pt>
                <c:pt idx="61">
                  <c:v>28181200</c:v>
                </c:pt>
              </c:numCache>
            </c:numRef>
          </c:yVal>
        </c:ser>
        <c:axId val="109927040"/>
        <c:axId val="133554944"/>
      </c:scatterChart>
      <c:valAx>
        <c:axId val="109927040"/>
        <c:scaling>
          <c:orientation val="minMax"/>
        </c:scaling>
        <c:axPos val="b"/>
        <c:numFmt formatCode="General" sourceLinked="1"/>
        <c:majorTickMark val="none"/>
        <c:tickLblPos val="nextTo"/>
        <c:crossAx val="133554944"/>
        <c:crosses val="autoZero"/>
        <c:crossBetween val="midCat"/>
      </c:valAx>
      <c:valAx>
        <c:axId val="133554944"/>
        <c:scaling>
          <c:orientation val="minMax"/>
        </c:scaling>
        <c:axPos val="l"/>
        <c:numFmt formatCode="General" sourceLinked="1"/>
        <c:majorTickMark val="none"/>
        <c:tickLblPos val="nextTo"/>
        <c:crossAx val="109927040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'[1]All Data figure'!$E$74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'[1]All Data figure'!$E$75:$E$137</c:f>
              <c:numCache>
                <c:formatCode>General</c:formatCode>
                <c:ptCount val="63"/>
                <c:pt idx="1">
                  <c:v>260.52999877929602</c:v>
                </c:pt>
                <c:pt idx="2">
                  <c:v>273.20001220703102</c:v>
                </c:pt>
                <c:pt idx="3">
                  <c:v>273.79998779296801</c:v>
                </c:pt>
                <c:pt idx="4">
                  <c:v>261.52999877929602</c:v>
                </c:pt>
                <c:pt idx="5">
                  <c:v>267.64001464843699</c:v>
                </c:pt>
                <c:pt idx="6">
                  <c:v>272.67001342773398</c:v>
                </c:pt>
                <c:pt idx="7">
                  <c:v>268.32000732421801</c:v>
                </c:pt>
                <c:pt idx="8">
                  <c:v>264.01998901367102</c:v>
                </c:pt>
                <c:pt idx="9">
                  <c:v>259.39001464843699</c:v>
                </c:pt>
                <c:pt idx="10">
                  <c:v>254.47999572753901</c:v>
                </c:pt>
                <c:pt idx="11">
                  <c:v>254.08999633789</c:v>
                </c:pt>
                <c:pt idx="12">
                  <c:v>255.55999755859301</c:v>
                </c:pt>
                <c:pt idx="13">
                  <c:v>249.96000671386699</c:v>
                </c:pt>
                <c:pt idx="14">
                  <c:v>252.46000671386699</c:v>
                </c:pt>
                <c:pt idx="15">
                  <c:v>249.07000732421801</c:v>
                </c:pt>
                <c:pt idx="16">
                  <c:v>250.759994506835</c:v>
                </c:pt>
                <c:pt idx="17">
                  <c:v>246.55000305175699</c:v>
                </c:pt>
                <c:pt idx="18">
                  <c:v>252.19000244140599</c:v>
                </c:pt>
                <c:pt idx="19">
                  <c:v>256.42999267578102</c:v>
                </c:pt>
                <c:pt idx="20">
                  <c:v>256.29998779296801</c:v>
                </c:pt>
                <c:pt idx="21">
                  <c:v>254.03999328613199</c:v>
                </c:pt>
                <c:pt idx="22">
                  <c:v>255.82000732421801</c:v>
                </c:pt>
                <c:pt idx="23">
                  <c:v>251.08000183105401</c:v>
                </c:pt>
                <c:pt idx="24">
                  <c:v>247.39999389648401</c:v>
                </c:pt>
                <c:pt idx="25">
                  <c:v>256.75</c:v>
                </c:pt>
                <c:pt idx="26">
                  <c:v>259.98001098632801</c:v>
                </c:pt>
                <c:pt idx="27">
                  <c:v>265.20999145507801</c:v>
                </c:pt>
                <c:pt idx="28">
                  <c:v>278.260009765625</c:v>
                </c:pt>
                <c:pt idx="29">
                  <c:v>276.98001098632801</c:v>
                </c:pt>
                <c:pt idx="30">
                  <c:v>274.88000488281199</c:v>
                </c:pt>
                <c:pt idx="31">
                  <c:v>273.39999389648398</c:v>
                </c:pt>
                <c:pt idx="32">
                  <c:v>277.94000244140602</c:v>
                </c:pt>
                <c:pt idx="33">
                  <c:v>277.239990234375</c:v>
                </c:pt>
                <c:pt idx="34">
                  <c:v>280.5</c:v>
                </c:pt>
                <c:pt idx="35">
                  <c:v>275.79000854492102</c:v>
                </c:pt>
                <c:pt idx="36">
                  <c:v>278.95999145507801</c:v>
                </c:pt>
                <c:pt idx="37">
                  <c:v>284.23001098632801</c:v>
                </c:pt>
                <c:pt idx="38">
                  <c:v>283.73001098632801</c:v>
                </c:pt>
                <c:pt idx="39">
                  <c:v>286.51998901367102</c:v>
                </c:pt>
                <c:pt idx="40">
                  <c:v>287.23001098632801</c:v>
                </c:pt>
                <c:pt idx="41">
                  <c:v>285.850006103515</c:v>
                </c:pt>
                <c:pt idx="42">
                  <c:v>283.20999145507801</c:v>
                </c:pt>
                <c:pt idx="43">
                  <c:v>289.20999145507801</c:v>
                </c:pt>
                <c:pt idx="44">
                  <c:v>285.75</c:v>
                </c:pt>
                <c:pt idx="45">
                  <c:v>284.79000854492102</c:v>
                </c:pt>
                <c:pt idx="46">
                  <c:v>283.58999633789</c:v>
                </c:pt>
                <c:pt idx="47">
                  <c:v>287</c:v>
                </c:pt>
                <c:pt idx="48">
                  <c:v>289.92999267578102</c:v>
                </c:pt>
                <c:pt idx="49">
                  <c:v>291.57000732421801</c:v>
                </c:pt>
                <c:pt idx="50">
                  <c:v>285.989990234375</c:v>
                </c:pt>
                <c:pt idx="51">
                  <c:v>285.25</c:v>
                </c:pt>
                <c:pt idx="52">
                  <c:v>285.010009765625</c:v>
                </c:pt>
                <c:pt idx="53">
                  <c:v>282.08999633789</c:v>
                </c:pt>
                <c:pt idx="54">
                  <c:v>279.510009765625</c:v>
                </c:pt>
                <c:pt idx="55">
                  <c:v>296.70001220703102</c:v>
                </c:pt>
                <c:pt idx="56">
                  <c:v>295.97000122070301</c:v>
                </c:pt>
                <c:pt idx="57">
                  <c:v>304.010009765625</c:v>
                </c:pt>
                <c:pt idx="58">
                  <c:v>306.97000122070301</c:v>
                </c:pt>
                <c:pt idx="59">
                  <c:v>307.760009765625</c:v>
                </c:pt>
                <c:pt idx="60">
                  <c:v>306.61999511718699</c:v>
                </c:pt>
                <c:pt idx="61">
                  <c:v>306.239990234375</c:v>
                </c:pt>
                <c:pt idx="62">
                  <c:v>305.72000122070301</c:v>
                </c:pt>
              </c:numCache>
            </c:numRef>
          </c:val>
        </c:ser>
        <c:axId val="133558272"/>
        <c:axId val="45384832"/>
      </c:barChart>
      <c:stockChart>
        <c:ser>
          <c:idx val="1"/>
          <c:order val="1"/>
          <c:tx>
            <c:strRef>
              <c:f>'[1]All Data figure'!$F$74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figure'!$F$75:$F$137</c:f>
              <c:numCache>
                <c:formatCode>General</c:formatCode>
                <c:ptCount val="63"/>
                <c:pt idx="1">
                  <c:v>268.76998901367102</c:v>
                </c:pt>
                <c:pt idx="2">
                  <c:v>276.760009765625</c:v>
                </c:pt>
                <c:pt idx="3">
                  <c:v>273.98001098632801</c:v>
                </c:pt>
                <c:pt idx="4">
                  <c:v>264.08999633789</c:v>
                </c:pt>
                <c:pt idx="5">
                  <c:v>274.600006103515</c:v>
                </c:pt>
                <c:pt idx="6">
                  <c:v>274.97000122070301</c:v>
                </c:pt>
                <c:pt idx="7">
                  <c:v>270.73001098632801</c:v>
                </c:pt>
                <c:pt idx="8">
                  <c:v>266.739990234375</c:v>
                </c:pt>
                <c:pt idx="9">
                  <c:v>260.08999633789</c:v>
                </c:pt>
                <c:pt idx="10">
                  <c:v>255.49000549316401</c:v>
                </c:pt>
                <c:pt idx="11">
                  <c:v>254.33999633789</c:v>
                </c:pt>
                <c:pt idx="12">
                  <c:v>256.83999633789</c:v>
                </c:pt>
                <c:pt idx="13">
                  <c:v>251</c:v>
                </c:pt>
                <c:pt idx="14">
                  <c:v>252.82000732421801</c:v>
                </c:pt>
                <c:pt idx="15">
                  <c:v>251.49000549316401</c:v>
                </c:pt>
                <c:pt idx="16">
                  <c:v>250.92999267578099</c:v>
                </c:pt>
                <c:pt idx="17">
                  <c:v>251.39999389648401</c:v>
                </c:pt>
                <c:pt idx="18">
                  <c:v>255.61999511718699</c:v>
                </c:pt>
                <c:pt idx="19">
                  <c:v>260.11999511718699</c:v>
                </c:pt>
                <c:pt idx="20">
                  <c:v>257.69000244140602</c:v>
                </c:pt>
                <c:pt idx="21">
                  <c:v>254.53999328613199</c:v>
                </c:pt>
                <c:pt idx="22">
                  <c:v>259.55999755859301</c:v>
                </c:pt>
                <c:pt idx="23">
                  <c:v>252.78999328613199</c:v>
                </c:pt>
                <c:pt idx="24">
                  <c:v>257.91000366210898</c:v>
                </c:pt>
                <c:pt idx="25">
                  <c:v>261.07000732421801</c:v>
                </c:pt>
                <c:pt idx="26">
                  <c:v>266.48001098632801</c:v>
                </c:pt>
                <c:pt idx="27">
                  <c:v>276.55999755859301</c:v>
                </c:pt>
                <c:pt idx="28">
                  <c:v>283.329986572265</c:v>
                </c:pt>
                <c:pt idx="29">
                  <c:v>277.48001098632801</c:v>
                </c:pt>
                <c:pt idx="30">
                  <c:v>275</c:v>
                </c:pt>
                <c:pt idx="31">
                  <c:v>281.04000854492102</c:v>
                </c:pt>
                <c:pt idx="32">
                  <c:v>281.05999755859301</c:v>
                </c:pt>
                <c:pt idx="33">
                  <c:v>280.63000488281199</c:v>
                </c:pt>
                <c:pt idx="34">
                  <c:v>281.45999145507801</c:v>
                </c:pt>
                <c:pt idx="35">
                  <c:v>276.14001464843699</c:v>
                </c:pt>
                <c:pt idx="36">
                  <c:v>281.14001464843699</c:v>
                </c:pt>
                <c:pt idx="37">
                  <c:v>284.45999145507801</c:v>
                </c:pt>
                <c:pt idx="38">
                  <c:v>289.26998901367102</c:v>
                </c:pt>
                <c:pt idx="39">
                  <c:v>288.26998901367102</c:v>
                </c:pt>
                <c:pt idx="40">
                  <c:v>290.45001220703102</c:v>
                </c:pt>
                <c:pt idx="41">
                  <c:v>287.14999389648398</c:v>
                </c:pt>
                <c:pt idx="42">
                  <c:v>292.079986572265</c:v>
                </c:pt>
                <c:pt idx="43">
                  <c:v>289.600006103515</c:v>
                </c:pt>
                <c:pt idx="44">
                  <c:v>285.98001098632801</c:v>
                </c:pt>
                <c:pt idx="45">
                  <c:v>287.010009765625</c:v>
                </c:pt>
                <c:pt idx="46">
                  <c:v>289.89999389648398</c:v>
                </c:pt>
                <c:pt idx="47">
                  <c:v>288.48001098632801</c:v>
                </c:pt>
                <c:pt idx="48">
                  <c:v>291.600006103515</c:v>
                </c:pt>
                <c:pt idx="49">
                  <c:v>291.760009765625</c:v>
                </c:pt>
                <c:pt idx="50">
                  <c:v>289.04998779296801</c:v>
                </c:pt>
                <c:pt idx="51">
                  <c:v>289.02999877929602</c:v>
                </c:pt>
                <c:pt idx="52">
                  <c:v>286.26998901367102</c:v>
                </c:pt>
                <c:pt idx="53">
                  <c:v>284.95001220703102</c:v>
                </c:pt>
                <c:pt idx="54">
                  <c:v>281.600006103515</c:v>
                </c:pt>
                <c:pt idx="55">
                  <c:v>299.57000732421801</c:v>
                </c:pt>
                <c:pt idx="56">
                  <c:v>305.20001220703102</c:v>
                </c:pt>
                <c:pt idx="57">
                  <c:v>308.92999267578102</c:v>
                </c:pt>
                <c:pt idx="58">
                  <c:v>308.600006103515</c:v>
                </c:pt>
                <c:pt idx="59">
                  <c:v>309.17999267578102</c:v>
                </c:pt>
                <c:pt idx="60">
                  <c:v>308.60998535156199</c:v>
                </c:pt>
                <c:pt idx="61">
                  <c:v>307.760009765625</c:v>
                </c:pt>
                <c:pt idx="62">
                  <c:v>311.97000122070301</c:v>
                </c:pt>
              </c:numCache>
            </c:numRef>
          </c:val>
        </c:ser>
        <c:ser>
          <c:idx val="2"/>
          <c:order val="2"/>
          <c:tx>
            <c:strRef>
              <c:f>'[1]All Data figure'!$G$74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figure'!$G$75:$G$137</c:f>
              <c:numCache>
                <c:formatCode>General</c:formatCode>
                <c:ptCount val="63"/>
                <c:pt idx="1">
                  <c:v>260.079986572265</c:v>
                </c:pt>
                <c:pt idx="2">
                  <c:v>266.20999145507801</c:v>
                </c:pt>
                <c:pt idx="3">
                  <c:v>262.79998779296801</c:v>
                </c:pt>
                <c:pt idx="4">
                  <c:v>260.66000366210898</c:v>
                </c:pt>
                <c:pt idx="5">
                  <c:v>267.14999389648398</c:v>
                </c:pt>
                <c:pt idx="6">
                  <c:v>269.27999877929602</c:v>
                </c:pt>
                <c:pt idx="7">
                  <c:v>266.17999267578102</c:v>
                </c:pt>
                <c:pt idx="8">
                  <c:v>261.89999389648398</c:v>
                </c:pt>
                <c:pt idx="9">
                  <c:v>256</c:v>
                </c:pt>
                <c:pt idx="10">
                  <c:v>251.58999633789</c:v>
                </c:pt>
                <c:pt idx="11">
                  <c:v>250.33999633789</c:v>
                </c:pt>
                <c:pt idx="12">
                  <c:v>250.47999572753901</c:v>
                </c:pt>
                <c:pt idx="13">
                  <c:v>248.100006103515</c:v>
                </c:pt>
                <c:pt idx="14">
                  <c:v>249.38999938964801</c:v>
                </c:pt>
                <c:pt idx="15">
                  <c:v>248.72999572753901</c:v>
                </c:pt>
                <c:pt idx="16">
                  <c:v>245.78999328613199</c:v>
                </c:pt>
                <c:pt idx="17">
                  <c:v>245.61000061035099</c:v>
                </c:pt>
                <c:pt idx="18">
                  <c:v>251.38999938964801</c:v>
                </c:pt>
                <c:pt idx="19">
                  <c:v>255.97999572753901</c:v>
                </c:pt>
                <c:pt idx="20">
                  <c:v>253.38999938964801</c:v>
                </c:pt>
                <c:pt idx="21">
                  <c:v>250.80999755859301</c:v>
                </c:pt>
                <c:pt idx="22">
                  <c:v>251.58000183105401</c:v>
                </c:pt>
                <c:pt idx="23">
                  <c:v>247.600006103515</c:v>
                </c:pt>
                <c:pt idx="24">
                  <c:v>245.72999572753901</c:v>
                </c:pt>
                <c:pt idx="25">
                  <c:v>255.86000061035099</c:v>
                </c:pt>
                <c:pt idx="26">
                  <c:v>259.20999145507801</c:v>
                </c:pt>
                <c:pt idx="27">
                  <c:v>263.27999877929602</c:v>
                </c:pt>
                <c:pt idx="28">
                  <c:v>276.32000732421801</c:v>
                </c:pt>
                <c:pt idx="29">
                  <c:v>269.850006103515</c:v>
                </c:pt>
                <c:pt idx="30">
                  <c:v>269.51998901367102</c:v>
                </c:pt>
                <c:pt idx="31">
                  <c:v>272.17999267578102</c:v>
                </c:pt>
                <c:pt idx="32">
                  <c:v>275.20001220703102</c:v>
                </c:pt>
                <c:pt idx="33">
                  <c:v>275.27999877929602</c:v>
                </c:pt>
                <c:pt idx="34">
                  <c:v>275.51998901367102</c:v>
                </c:pt>
                <c:pt idx="35">
                  <c:v>272.04998779296801</c:v>
                </c:pt>
                <c:pt idx="36">
                  <c:v>278.41000366210898</c:v>
                </c:pt>
                <c:pt idx="37">
                  <c:v>281.48001098632801</c:v>
                </c:pt>
                <c:pt idx="38">
                  <c:v>283</c:v>
                </c:pt>
                <c:pt idx="39">
                  <c:v>283.95001220703102</c:v>
                </c:pt>
                <c:pt idx="40">
                  <c:v>285.67001342773398</c:v>
                </c:pt>
                <c:pt idx="41">
                  <c:v>282.92001342773398</c:v>
                </c:pt>
                <c:pt idx="42">
                  <c:v>282.02999877929602</c:v>
                </c:pt>
                <c:pt idx="43">
                  <c:v>284.70999145507801</c:v>
                </c:pt>
                <c:pt idx="44">
                  <c:v>281.64001464843699</c:v>
                </c:pt>
                <c:pt idx="45">
                  <c:v>281.95999145507801</c:v>
                </c:pt>
                <c:pt idx="46">
                  <c:v>283.17001342773398</c:v>
                </c:pt>
                <c:pt idx="47">
                  <c:v>283.69000244140602</c:v>
                </c:pt>
                <c:pt idx="48">
                  <c:v>286.16000366210898</c:v>
                </c:pt>
                <c:pt idx="49">
                  <c:v>287.010009765625</c:v>
                </c:pt>
                <c:pt idx="50">
                  <c:v>284.54000854492102</c:v>
                </c:pt>
                <c:pt idx="51">
                  <c:v>285.079986572265</c:v>
                </c:pt>
                <c:pt idx="52">
                  <c:v>283.05999755859301</c:v>
                </c:pt>
                <c:pt idx="53">
                  <c:v>278.72000122070301</c:v>
                </c:pt>
                <c:pt idx="54">
                  <c:v>275.36999511718699</c:v>
                </c:pt>
                <c:pt idx="55">
                  <c:v>292.73001098632801</c:v>
                </c:pt>
                <c:pt idx="56">
                  <c:v>295.25</c:v>
                </c:pt>
                <c:pt idx="57">
                  <c:v>303.30999755859301</c:v>
                </c:pt>
                <c:pt idx="58">
                  <c:v>305.14999389648398</c:v>
                </c:pt>
                <c:pt idx="59">
                  <c:v>303.91000366210898</c:v>
                </c:pt>
                <c:pt idx="60">
                  <c:v>304.08999633789</c:v>
                </c:pt>
                <c:pt idx="61">
                  <c:v>303.39999389648398</c:v>
                </c:pt>
                <c:pt idx="62">
                  <c:v>304.26998901367102</c:v>
                </c:pt>
              </c:numCache>
            </c:numRef>
          </c:val>
        </c:ser>
        <c:ser>
          <c:idx val="3"/>
          <c:order val="3"/>
          <c:tx>
            <c:strRef>
              <c:f>'[1]All Data figure'!$H$74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figure'!$H$75:$H$137</c:f>
              <c:numCache>
                <c:formatCode>General</c:formatCode>
                <c:ptCount val="63"/>
                <c:pt idx="1">
                  <c:v>267.55999755859301</c:v>
                </c:pt>
                <c:pt idx="2">
                  <c:v>266.73001098632801</c:v>
                </c:pt>
                <c:pt idx="3">
                  <c:v>263.61999511718699</c:v>
                </c:pt>
                <c:pt idx="4">
                  <c:v>263.100006103515</c:v>
                </c:pt>
                <c:pt idx="5">
                  <c:v>271.32000732421801</c:v>
                </c:pt>
                <c:pt idx="6">
                  <c:v>272.17001342773398</c:v>
                </c:pt>
                <c:pt idx="7">
                  <c:v>269.32000732421801</c:v>
                </c:pt>
                <c:pt idx="8">
                  <c:v>262.14999389648398</c:v>
                </c:pt>
                <c:pt idx="9">
                  <c:v>258.05999755859301</c:v>
                </c:pt>
                <c:pt idx="10">
                  <c:v>252.669998168945</c:v>
                </c:pt>
                <c:pt idx="11">
                  <c:v>251.509994506835</c:v>
                </c:pt>
                <c:pt idx="12">
                  <c:v>254.77000427246</c:v>
                </c:pt>
                <c:pt idx="13">
                  <c:v>249.22000122070301</c:v>
                </c:pt>
                <c:pt idx="14">
                  <c:v>250.16000366210901</c:v>
                </c:pt>
                <c:pt idx="15">
                  <c:v>249.419998168945</c:v>
                </c:pt>
                <c:pt idx="16">
                  <c:v>246.27000427246</c:v>
                </c:pt>
                <c:pt idx="17">
                  <c:v>251.11000061035099</c:v>
                </c:pt>
                <c:pt idx="18">
                  <c:v>255.28999328613199</c:v>
                </c:pt>
                <c:pt idx="19">
                  <c:v>256.86999511718699</c:v>
                </c:pt>
                <c:pt idx="20">
                  <c:v>254.14999389648401</c:v>
                </c:pt>
                <c:pt idx="21">
                  <c:v>253.69999694824199</c:v>
                </c:pt>
                <c:pt idx="22">
                  <c:v>252.32000732421801</c:v>
                </c:pt>
                <c:pt idx="23">
                  <c:v>248.58999633789</c:v>
                </c:pt>
                <c:pt idx="24">
                  <c:v>253.919998168945</c:v>
                </c:pt>
                <c:pt idx="25">
                  <c:v>260.79000854492102</c:v>
                </c:pt>
                <c:pt idx="26">
                  <c:v>265.44000244140602</c:v>
                </c:pt>
                <c:pt idx="27">
                  <c:v>276.20001220703102</c:v>
                </c:pt>
                <c:pt idx="28">
                  <c:v>279.42999267578102</c:v>
                </c:pt>
                <c:pt idx="29">
                  <c:v>272.23001098632801</c:v>
                </c:pt>
                <c:pt idx="30">
                  <c:v>273.77999877929602</c:v>
                </c:pt>
                <c:pt idx="31">
                  <c:v>272.29000854492102</c:v>
                </c:pt>
                <c:pt idx="32">
                  <c:v>277.66000366210898</c:v>
                </c:pt>
                <c:pt idx="33">
                  <c:v>280.57000732421801</c:v>
                </c:pt>
                <c:pt idx="34">
                  <c:v>276.38000488281199</c:v>
                </c:pt>
                <c:pt idx="35">
                  <c:v>275.23001098632801</c:v>
                </c:pt>
                <c:pt idx="36">
                  <c:v>280.510009765625</c:v>
                </c:pt>
                <c:pt idx="37">
                  <c:v>284.04998779296801</c:v>
                </c:pt>
                <c:pt idx="38">
                  <c:v>288.29998779296801</c:v>
                </c:pt>
                <c:pt idx="39">
                  <c:v>287.23001098632801</c:v>
                </c:pt>
                <c:pt idx="40">
                  <c:v>287.17999267578102</c:v>
                </c:pt>
                <c:pt idx="41">
                  <c:v>284.33999633789</c:v>
                </c:pt>
                <c:pt idx="42">
                  <c:v>291.600006103515</c:v>
                </c:pt>
                <c:pt idx="43">
                  <c:v>289.39001464843699</c:v>
                </c:pt>
                <c:pt idx="44">
                  <c:v>282.829986572265</c:v>
                </c:pt>
                <c:pt idx="45">
                  <c:v>283.489990234375</c:v>
                </c:pt>
                <c:pt idx="46">
                  <c:v>289.83999633789</c:v>
                </c:pt>
                <c:pt idx="47">
                  <c:v>286.14001464843699</c:v>
                </c:pt>
                <c:pt idx="48">
                  <c:v>288.79998779296801</c:v>
                </c:pt>
                <c:pt idx="49">
                  <c:v>288.36999511718699</c:v>
                </c:pt>
                <c:pt idx="50">
                  <c:v>288.45001220703102</c:v>
                </c:pt>
                <c:pt idx="51">
                  <c:v>286.10998535156199</c:v>
                </c:pt>
                <c:pt idx="52">
                  <c:v>285.760009765625</c:v>
                </c:pt>
                <c:pt idx="53">
                  <c:v>281.76998901367102</c:v>
                </c:pt>
                <c:pt idx="54">
                  <c:v>275.42001342773398</c:v>
                </c:pt>
                <c:pt idx="55">
                  <c:v>295.36999511718699</c:v>
                </c:pt>
                <c:pt idx="56">
                  <c:v>304.829986572265</c:v>
                </c:pt>
                <c:pt idx="57">
                  <c:v>307.260009765625</c:v>
                </c:pt>
                <c:pt idx="58">
                  <c:v>305.55999755859301</c:v>
                </c:pt>
                <c:pt idx="59">
                  <c:v>305.41000366210898</c:v>
                </c:pt>
                <c:pt idx="60">
                  <c:v>304.39999389648398</c:v>
                </c:pt>
                <c:pt idx="61">
                  <c:v>305.41000366210898</c:v>
                </c:pt>
                <c:pt idx="62">
                  <c:v>310.64999389648398</c:v>
                </c:pt>
              </c:numCache>
            </c:numRef>
          </c:val>
        </c:ser>
        <c:ser>
          <c:idx val="4"/>
          <c:order val="4"/>
          <c:tx>
            <c:strRef>
              <c:f>'[1]All Data figure'!$I$74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figure'!$I$75:$I$137</c:f>
              <c:numCache>
                <c:formatCode>General</c:formatCode>
                <c:ptCount val="63"/>
                <c:pt idx="1">
                  <c:v>266.891510009765</c:v>
                </c:pt>
                <c:pt idx="2">
                  <c:v>266.06359863281199</c:v>
                </c:pt>
                <c:pt idx="3">
                  <c:v>262.96136474609301</c:v>
                </c:pt>
                <c:pt idx="4">
                  <c:v>262.44265747070301</c:v>
                </c:pt>
                <c:pt idx="5">
                  <c:v>270.64212036132801</c:v>
                </c:pt>
                <c:pt idx="6">
                  <c:v>271.49002075195301</c:v>
                </c:pt>
                <c:pt idx="7">
                  <c:v>269.32000732421801</c:v>
                </c:pt>
                <c:pt idx="8">
                  <c:v>262.14999389648398</c:v>
                </c:pt>
                <c:pt idx="9">
                  <c:v>258.05999755859301</c:v>
                </c:pt>
                <c:pt idx="10">
                  <c:v>252.669998168945</c:v>
                </c:pt>
                <c:pt idx="11">
                  <c:v>251.509994506835</c:v>
                </c:pt>
                <c:pt idx="12">
                  <c:v>254.77000427246</c:v>
                </c:pt>
                <c:pt idx="13">
                  <c:v>249.22000122070301</c:v>
                </c:pt>
                <c:pt idx="14">
                  <c:v>250.16000366210901</c:v>
                </c:pt>
                <c:pt idx="15">
                  <c:v>249.419998168945</c:v>
                </c:pt>
                <c:pt idx="16">
                  <c:v>246.27000427246</c:v>
                </c:pt>
                <c:pt idx="17">
                  <c:v>251.11000061035099</c:v>
                </c:pt>
                <c:pt idx="18">
                  <c:v>255.28999328613199</c:v>
                </c:pt>
                <c:pt idx="19">
                  <c:v>256.86999511718699</c:v>
                </c:pt>
                <c:pt idx="20">
                  <c:v>254.14999389648401</c:v>
                </c:pt>
                <c:pt idx="21">
                  <c:v>253.69999694824199</c:v>
                </c:pt>
                <c:pt idx="22">
                  <c:v>252.32000732421801</c:v>
                </c:pt>
                <c:pt idx="23">
                  <c:v>248.58999633789</c:v>
                </c:pt>
                <c:pt idx="24">
                  <c:v>253.919998168945</c:v>
                </c:pt>
                <c:pt idx="25">
                  <c:v>260.79000854492102</c:v>
                </c:pt>
                <c:pt idx="26">
                  <c:v>265.44000244140602</c:v>
                </c:pt>
                <c:pt idx="27">
                  <c:v>276.20001220703102</c:v>
                </c:pt>
                <c:pt idx="28">
                  <c:v>279.42999267578102</c:v>
                </c:pt>
                <c:pt idx="29">
                  <c:v>272.23001098632801</c:v>
                </c:pt>
                <c:pt idx="30">
                  <c:v>273.77999877929602</c:v>
                </c:pt>
                <c:pt idx="31">
                  <c:v>272.29000854492102</c:v>
                </c:pt>
                <c:pt idx="32">
                  <c:v>277.66000366210898</c:v>
                </c:pt>
                <c:pt idx="33">
                  <c:v>280.57000732421801</c:v>
                </c:pt>
                <c:pt idx="34">
                  <c:v>276.38000488281199</c:v>
                </c:pt>
                <c:pt idx="35">
                  <c:v>275.23001098632801</c:v>
                </c:pt>
                <c:pt idx="36">
                  <c:v>280.510009765625</c:v>
                </c:pt>
                <c:pt idx="37">
                  <c:v>284.04998779296801</c:v>
                </c:pt>
                <c:pt idx="38">
                  <c:v>288.29998779296801</c:v>
                </c:pt>
                <c:pt idx="39">
                  <c:v>287.23001098632801</c:v>
                </c:pt>
                <c:pt idx="40">
                  <c:v>287.17999267578102</c:v>
                </c:pt>
                <c:pt idx="41">
                  <c:v>284.33999633789</c:v>
                </c:pt>
                <c:pt idx="42">
                  <c:v>291.600006103515</c:v>
                </c:pt>
                <c:pt idx="43">
                  <c:v>289.39001464843699</c:v>
                </c:pt>
                <c:pt idx="44">
                  <c:v>282.829986572265</c:v>
                </c:pt>
                <c:pt idx="45">
                  <c:v>283.489990234375</c:v>
                </c:pt>
                <c:pt idx="46">
                  <c:v>289.83999633789</c:v>
                </c:pt>
                <c:pt idx="47">
                  <c:v>286.14001464843699</c:v>
                </c:pt>
                <c:pt idx="48">
                  <c:v>288.79998779296801</c:v>
                </c:pt>
                <c:pt idx="49">
                  <c:v>288.36999511718699</c:v>
                </c:pt>
                <c:pt idx="50">
                  <c:v>288.45001220703102</c:v>
                </c:pt>
                <c:pt idx="51">
                  <c:v>286.10998535156199</c:v>
                </c:pt>
                <c:pt idx="52">
                  <c:v>285.760009765625</c:v>
                </c:pt>
                <c:pt idx="53">
                  <c:v>281.76998901367102</c:v>
                </c:pt>
                <c:pt idx="54">
                  <c:v>275.42001342773398</c:v>
                </c:pt>
                <c:pt idx="55">
                  <c:v>295.36999511718699</c:v>
                </c:pt>
                <c:pt idx="56">
                  <c:v>304.829986572265</c:v>
                </c:pt>
                <c:pt idx="57">
                  <c:v>307.260009765625</c:v>
                </c:pt>
                <c:pt idx="58">
                  <c:v>305.55999755859301</c:v>
                </c:pt>
                <c:pt idx="59">
                  <c:v>305.41000366210898</c:v>
                </c:pt>
                <c:pt idx="60">
                  <c:v>304.39999389648398</c:v>
                </c:pt>
                <c:pt idx="61">
                  <c:v>305.41000366210898</c:v>
                </c:pt>
                <c:pt idx="62">
                  <c:v>310.64999389648398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45400448"/>
        <c:axId val="45386368"/>
      </c:stockChart>
      <c:catAx>
        <c:axId val="133558272"/>
        <c:scaling>
          <c:orientation val="minMax"/>
        </c:scaling>
        <c:axPos val="b"/>
        <c:majorTickMark val="none"/>
        <c:tickLblPos val="nextTo"/>
        <c:crossAx val="45384832"/>
        <c:crosses val="autoZero"/>
        <c:auto val="1"/>
        <c:lblAlgn val="ctr"/>
        <c:lblOffset val="100"/>
      </c:catAx>
      <c:valAx>
        <c:axId val="45384832"/>
        <c:scaling>
          <c:orientation val="minMax"/>
        </c:scaling>
        <c:axPos val="l"/>
        <c:numFmt formatCode="General" sourceLinked="1"/>
        <c:majorTickMark val="none"/>
        <c:tickLblPos val="nextTo"/>
        <c:crossAx val="133558272"/>
        <c:crosses val="autoZero"/>
        <c:crossBetween val="between"/>
      </c:valAx>
      <c:valAx>
        <c:axId val="45386368"/>
        <c:scaling>
          <c:orientation val="minMax"/>
        </c:scaling>
        <c:axPos val="r"/>
        <c:numFmt formatCode="General" sourceLinked="1"/>
        <c:tickLblPos val="nextTo"/>
        <c:crossAx val="45400448"/>
        <c:crosses val="max"/>
        <c:crossBetween val="between"/>
      </c:valAx>
      <c:catAx>
        <c:axId val="45400448"/>
        <c:scaling>
          <c:orientation val="minMax"/>
        </c:scaling>
        <c:delete val="1"/>
        <c:axPos val="b"/>
        <c:tickLblPos val="nextTo"/>
        <c:crossAx val="45386368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'[1]All Data figure'!$D$143:$D$203</c:f>
              <c:numCache>
                <c:formatCode>General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'[1]All Data figure'!$K$143:$K$203</c:f>
              <c:numCache>
                <c:formatCode>General</c:formatCode>
                <c:ptCount val="61"/>
                <c:pt idx="0">
                  <c:v>365.829986572265</c:v>
                </c:pt>
                <c:pt idx="1">
                  <c:v>361.5</c:v>
                </c:pt>
                <c:pt idx="2">
                  <c:v>346.35998535156199</c:v>
                </c:pt>
                <c:pt idx="3">
                  <c:v>357.57000732421801</c:v>
                </c:pt>
                <c:pt idx="4">
                  <c:v>358.95999145507801</c:v>
                </c:pt>
                <c:pt idx="5">
                  <c:v>360.42001342773398</c:v>
                </c:pt>
                <c:pt idx="6">
                  <c:v>349.70999145507801</c:v>
                </c:pt>
                <c:pt idx="7">
                  <c:v>346.95999145507801</c:v>
                </c:pt>
                <c:pt idx="8">
                  <c:v>336.5</c:v>
                </c:pt>
                <c:pt idx="9">
                  <c:v>333.88000488281199</c:v>
                </c:pt>
                <c:pt idx="10">
                  <c:v>322.64999389648398</c:v>
                </c:pt>
                <c:pt idx="11">
                  <c:v>316.14999389648398</c:v>
                </c:pt>
                <c:pt idx="12">
                  <c:v>322.02999877929602</c:v>
                </c:pt>
                <c:pt idx="13">
                  <c:v>321.13000488281199</c:v>
                </c:pt>
                <c:pt idx="14">
                  <c:v>312.48001098632801</c:v>
                </c:pt>
                <c:pt idx="15">
                  <c:v>310.88000488281199</c:v>
                </c:pt>
                <c:pt idx="16">
                  <c:v>314.17999267578102</c:v>
                </c:pt>
                <c:pt idx="17">
                  <c:v>311.02999877929602</c:v>
                </c:pt>
                <c:pt idx="18">
                  <c:v>307.47000122070301</c:v>
                </c:pt>
                <c:pt idx="19">
                  <c:v>310.79000854492102</c:v>
                </c:pt>
                <c:pt idx="20">
                  <c:v>296.77999877929602</c:v>
                </c:pt>
                <c:pt idx="21">
                  <c:v>291.760009765625</c:v>
                </c:pt>
                <c:pt idx="22">
                  <c:v>292.510009765625</c:v>
                </c:pt>
                <c:pt idx="23">
                  <c:v>293.94000244140602</c:v>
                </c:pt>
                <c:pt idx="24">
                  <c:v>302.79000854492102</c:v>
                </c:pt>
                <c:pt idx="25">
                  <c:v>309.05999755859301</c:v>
                </c:pt>
                <c:pt idx="26">
                  <c:v>302.5</c:v>
                </c:pt>
                <c:pt idx="27">
                  <c:v>304.13000488281199</c:v>
                </c:pt>
                <c:pt idx="28">
                  <c:v>304.79000854492102</c:v>
                </c:pt>
                <c:pt idx="29">
                  <c:v>292.89999389648398</c:v>
                </c:pt>
                <c:pt idx="30">
                  <c:v>319.36999511718699</c:v>
                </c:pt>
                <c:pt idx="31">
                  <c:v>327.39001464843699</c:v>
                </c:pt>
                <c:pt idx="32">
                  <c:v>326.66000366210898</c:v>
                </c:pt>
                <c:pt idx="33">
                  <c:v>322.51998901367102</c:v>
                </c:pt>
                <c:pt idx="34">
                  <c:v>331.02999877929602</c:v>
                </c:pt>
                <c:pt idx="35">
                  <c:v>337.42999267578102</c:v>
                </c:pt>
                <c:pt idx="36">
                  <c:v>344.48001098632801</c:v>
                </c:pt>
                <c:pt idx="37">
                  <c:v>347.27999877929602</c:v>
                </c:pt>
                <c:pt idx="38">
                  <c:v>345.75</c:v>
                </c:pt>
                <c:pt idx="39">
                  <c:v>341.350006103515</c:v>
                </c:pt>
                <c:pt idx="40">
                  <c:v>338.329986572265</c:v>
                </c:pt>
                <c:pt idx="41">
                  <c:v>337.989990234375</c:v>
                </c:pt>
                <c:pt idx="42">
                  <c:v>337.20999145507801</c:v>
                </c:pt>
                <c:pt idx="43">
                  <c:v>330.02999877929602</c:v>
                </c:pt>
                <c:pt idx="44">
                  <c:v>345.19000244140602</c:v>
                </c:pt>
                <c:pt idx="45">
                  <c:v>337.63000488281199</c:v>
                </c:pt>
                <c:pt idx="46">
                  <c:v>331.72000122070301</c:v>
                </c:pt>
                <c:pt idx="47">
                  <c:v>332.70001220703102</c:v>
                </c:pt>
                <c:pt idx="48">
                  <c:v>322.11999511718699</c:v>
                </c:pt>
                <c:pt idx="49">
                  <c:v>324.350006103515</c:v>
                </c:pt>
                <c:pt idx="50">
                  <c:v>326.98001098632801</c:v>
                </c:pt>
                <c:pt idx="51">
                  <c:v>328.01998901367102</c:v>
                </c:pt>
                <c:pt idx="52">
                  <c:v>321.54998779296801</c:v>
                </c:pt>
                <c:pt idx="53">
                  <c:v>320.14999389648398</c:v>
                </c:pt>
                <c:pt idx="54">
                  <c:v>324.850006103515</c:v>
                </c:pt>
                <c:pt idx="55">
                  <c:v>328.92999267578102</c:v>
                </c:pt>
                <c:pt idx="56">
                  <c:v>323.11999511718699</c:v>
                </c:pt>
                <c:pt idx="57">
                  <c:v>316.54998779296801</c:v>
                </c:pt>
                <c:pt idx="58">
                  <c:v>318.29998779296801</c:v>
                </c:pt>
                <c:pt idx="59">
                  <c:v>319.77999877929602</c:v>
                </c:pt>
                <c:pt idx="60">
                  <c:v>321.760009765625</c:v>
                </c:pt>
              </c:numCache>
            </c:numRef>
          </c:val>
        </c:ser>
        <c:overlap val="100"/>
        <c:axId val="45095168"/>
        <c:axId val="45096960"/>
      </c:barChart>
      <c:catAx>
        <c:axId val="45095168"/>
        <c:scaling>
          <c:orientation val="minMax"/>
        </c:scaling>
        <c:axPos val="b"/>
        <c:numFmt formatCode="General" sourceLinked="1"/>
        <c:tickLblPos val="nextTo"/>
        <c:crossAx val="45096960"/>
        <c:crosses val="autoZero"/>
        <c:auto val="1"/>
        <c:lblAlgn val="ctr"/>
        <c:lblOffset val="100"/>
      </c:catAx>
      <c:valAx>
        <c:axId val="45096960"/>
        <c:scaling>
          <c:orientation val="minMax"/>
        </c:scaling>
        <c:axPos val="l"/>
        <c:majorGridlines/>
        <c:numFmt formatCode="General" sourceLinked="1"/>
        <c:tickLblPos val="nextTo"/>
        <c:crossAx val="45095168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'[1]All Data figure'!$H$142:$H$203</c:f>
              <c:numCache>
                <c:formatCode>General</c:formatCode>
                <c:ptCount val="62"/>
                <c:pt idx="0">
                  <c:v>362.95001220703102</c:v>
                </c:pt>
                <c:pt idx="1">
                  <c:v>366.829986572265</c:v>
                </c:pt>
                <c:pt idx="2">
                  <c:v>362.5</c:v>
                </c:pt>
                <c:pt idx="3">
                  <c:v>347.35998535156199</c:v>
                </c:pt>
                <c:pt idx="4">
                  <c:v>358.57000732421801</c:v>
                </c:pt>
                <c:pt idx="5">
                  <c:v>359.95999145507801</c:v>
                </c:pt>
                <c:pt idx="6">
                  <c:v>361.42001342773398</c:v>
                </c:pt>
                <c:pt idx="7">
                  <c:v>350.70999145507801</c:v>
                </c:pt>
                <c:pt idx="8">
                  <c:v>347.95999145507801</c:v>
                </c:pt>
                <c:pt idx="9">
                  <c:v>337.5</c:v>
                </c:pt>
                <c:pt idx="10">
                  <c:v>334.88000488281199</c:v>
                </c:pt>
                <c:pt idx="11">
                  <c:v>323.64999389648398</c:v>
                </c:pt>
                <c:pt idx="12">
                  <c:v>317.14999389648398</c:v>
                </c:pt>
                <c:pt idx="13">
                  <c:v>323.02999877929602</c:v>
                </c:pt>
                <c:pt idx="14">
                  <c:v>322.13000488281199</c:v>
                </c:pt>
                <c:pt idx="15">
                  <c:v>313.48001098632801</c:v>
                </c:pt>
                <c:pt idx="16">
                  <c:v>311.88000488281199</c:v>
                </c:pt>
                <c:pt idx="17">
                  <c:v>315.17999267578102</c:v>
                </c:pt>
                <c:pt idx="18">
                  <c:v>312.02999877929602</c:v>
                </c:pt>
                <c:pt idx="19">
                  <c:v>308.47000122070301</c:v>
                </c:pt>
                <c:pt idx="20">
                  <c:v>311.79000854492102</c:v>
                </c:pt>
                <c:pt idx="21">
                  <c:v>297.77999877929602</c:v>
                </c:pt>
                <c:pt idx="22">
                  <c:v>292.760009765625</c:v>
                </c:pt>
                <c:pt idx="23">
                  <c:v>293.510009765625</c:v>
                </c:pt>
                <c:pt idx="24">
                  <c:v>294.94000244140602</c:v>
                </c:pt>
                <c:pt idx="25">
                  <c:v>303.79000854492102</c:v>
                </c:pt>
                <c:pt idx="26">
                  <c:v>310.05999755859301</c:v>
                </c:pt>
                <c:pt idx="27">
                  <c:v>303.5</c:v>
                </c:pt>
                <c:pt idx="28">
                  <c:v>305.13000488281199</c:v>
                </c:pt>
                <c:pt idx="29">
                  <c:v>305.79000854492102</c:v>
                </c:pt>
                <c:pt idx="30">
                  <c:v>293.89999389648398</c:v>
                </c:pt>
                <c:pt idx="31">
                  <c:v>320.36999511718699</c:v>
                </c:pt>
                <c:pt idx="32">
                  <c:v>328.39001464843699</c:v>
                </c:pt>
                <c:pt idx="33">
                  <c:v>327.66000366210898</c:v>
                </c:pt>
                <c:pt idx="34">
                  <c:v>323.51998901367102</c:v>
                </c:pt>
                <c:pt idx="35">
                  <c:v>332.02999877929602</c:v>
                </c:pt>
                <c:pt idx="36">
                  <c:v>338.42999267578102</c:v>
                </c:pt>
                <c:pt idx="37">
                  <c:v>345.48001098632801</c:v>
                </c:pt>
                <c:pt idx="38">
                  <c:v>348.27999877929602</c:v>
                </c:pt>
                <c:pt idx="39">
                  <c:v>346.75</c:v>
                </c:pt>
                <c:pt idx="40">
                  <c:v>342.350006103515</c:v>
                </c:pt>
                <c:pt idx="41">
                  <c:v>339.329986572265</c:v>
                </c:pt>
                <c:pt idx="42">
                  <c:v>338.989990234375</c:v>
                </c:pt>
                <c:pt idx="43">
                  <c:v>338.20999145507801</c:v>
                </c:pt>
                <c:pt idx="44">
                  <c:v>331.02999877929602</c:v>
                </c:pt>
                <c:pt idx="45">
                  <c:v>346.19000244140602</c:v>
                </c:pt>
                <c:pt idx="46">
                  <c:v>338.63000488281199</c:v>
                </c:pt>
                <c:pt idx="47">
                  <c:v>332.72000122070301</c:v>
                </c:pt>
                <c:pt idx="48">
                  <c:v>333.70001220703102</c:v>
                </c:pt>
                <c:pt idx="49">
                  <c:v>323.11999511718699</c:v>
                </c:pt>
                <c:pt idx="50">
                  <c:v>325.350006103515</c:v>
                </c:pt>
                <c:pt idx="51">
                  <c:v>327.98001098632801</c:v>
                </c:pt>
                <c:pt idx="52">
                  <c:v>329.01998901367102</c:v>
                </c:pt>
                <c:pt idx="53">
                  <c:v>322.54998779296801</c:v>
                </c:pt>
                <c:pt idx="54">
                  <c:v>321.14999389648398</c:v>
                </c:pt>
                <c:pt idx="55">
                  <c:v>325.850006103515</c:v>
                </c:pt>
                <c:pt idx="56">
                  <c:v>329.92999267578102</c:v>
                </c:pt>
                <c:pt idx="57">
                  <c:v>324.11999511718699</c:v>
                </c:pt>
                <c:pt idx="58">
                  <c:v>317.54998779296801</c:v>
                </c:pt>
                <c:pt idx="59">
                  <c:v>319.29998779296801</c:v>
                </c:pt>
                <c:pt idx="60">
                  <c:v>320.77999877929602</c:v>
                </c:pt>
                <c:pt idx="61">
                  <c:v>322.760009765625</c:v>
                </c:pt>
              </c:numCache>
            </c:numRef>
          </c:xVal>
          <c:yVal>
            <c:numRef>
              <c:f>'[1]All Data figure'!$J$142:$J$203</c:f>
              <c:numCache>
                <c:formatCode>General</c:formatCode>
                <c:ptCount val="62"/>
                <c:pt idx="0">
                  <c:v>6289400</c:v>
                </c:pt>
                <c:pt idx="1">
                  <c:v>6253200</c:v>
                </c:pt>
                <c:pt idx="2">
                  <c:v>6901100</c:v>
                </c:pt>
                <c:pt idx="3">
                  <c:v>7291100</c:v>
                </c:pt>
                <c:pt idx="4">
                  <c:v>7134400</c:v>
                </c:pt>
                <c:pt idx="5">
                  <c:v>4624800</c:v>
                </c:pt>
                <c:pt idx="6">
                  <c:v>3966000</c:v>
                </c:pt>
                <c:pt idx="7">
                  <c:v>5215700</c:v>
                </c:pt>
                <c:pt idx="8">
                  <c:v>5294700</c:v>
                </c:pt>
                <c:pt idx="9">
                  <c:v>5710300</c:v>
                </c:pt>
                <c:pt idx="10">
                  <c:v>4546200</c:v>
                </c:pt>
                <c:pt idx="11">
                  <c:v>13238700</c:v>
                </c:pt>
                <c:pt idx="12">
                  <c:v>6830700</c:v>
                </c:pt>
                <c:pt idx="13">
                  <c:v>6142600</c:v>
                </c:pt>
                <c:pt idx="14">
                  <c:v>3676100</c:v>
                </c:pt>
                <c:pt idx="15">
                  <c:v>4911300</c:v>
                </c:pt>
                <c:pt idx="16">
                  <c:v>4911000</c:v>
                </c:pt>
                <c:pt idx="17">
                  <c:v>5953300</c:v>
                </c:pt>
                <c:pt idx="18">
                  <c:v>5660700</c:v>
                </c:pt>
                <c:pt idx="19">
                  <c:v>4553100</c:v>
                </c:pt>
                <c:pt idx="20">
                  <c:v>3479500</c:v>
                </c:pt>
                <c:pt idx="21">
                  <c:v>7443400</c:v>
                </c:pt>
                <c:pt idx="22">
                  <c:v>5759300</c:v>
                </c:pt>
                <c:pt idx="23">
                  <c:v>6292400</c:v>
                </c:pt>
                <c:pt idx="24">
                  <c:v>5956700</c:v>
                </c:pt>
                <c:pt idx="25">
                  <c:v>9215300</c:v>
                </c:pt>
                <c:pt idx="26">
                  <c:v>7903700</c:v>
                </c:pt>
                <c:pt idx="27">
                  <c:v>6918800</c:v>
                </c:pt>
                <c:pt idx="28">
                  <c:v>5113400</c:v>
                </c:pt>
                <c:pt idx="29">
                  <c:v>4886300</c:v>
                </c:pt>
                <c:pt idx="30">
                  <c:v>5808000</c:v>
                </c:pt>
                <c:pt idx="31">
                  <c:v>15653300</c:v>
                </c:pt>
                <c:pt idx="32">
                  <c:v>12991700</c:v>
                </c:pt>
                <c:pt idx="33">
                  <c:v>8625800</c:v>
                </c:pt>
                <c:pt idx="34">
                  <c:v>6489400</c:v>
                </c:pt>
                <c:pt idx="35">
                  <c:v>6287300</c:v>
                </c:pt>
                <c:pt idx="36">
                  <c:v>7131500</c:v>
                </c:pt>
                <c:pt idx="37">
                  <c:v>5610200</c:v>
                </c:pt>
                <c:pt idx="38">
                  <c:v>4413700</c:v>
                </c:pt>
                <c:pt idx="39">
                  <c:v>3298100</c:v>
                </c:pt>
                <c:pt idx="40">
                  <c:v>4205500</c:v>
                </c:pt>
                <c:pt idx="41">
                  <c:v>4660500</c:v>
                </c:pt>
                <c:pt idx="42">
                  <c:v>2657900</c:v>
                </c:pt>
                <c:pt idx="43">
                  <c:v>4044800</c:v>
                </c:pt>
                <c:pt idx="44">
                  <c:v>3965400</c:v>
                </c:pt>
                <c:pt idx="45">
                  <c:v>7406400</c:v>
                </c:pt>
                <c:pt idx="46">
                  <c:v>5350500</c:v>
                </c:pt>
                <c:pt idx="47">
                  <c:v>6136000</c:v>
                </c:pt>
                <c:pt idx="48">
                  <c:v>17944500</c:v>
                </c:pt>
                <c:pt idx="49">
                  <c:v>22128300</c:v>
                </c:pt>
                <c:pt idx="50">
                  <c:v>9947800</c:v>
                </c:pt>
                <c:pt idx="51">
                  <c:v>6348000</c:v>
                </c:pt>
                <c:pt idx="52">
                  <c:v>5586600</c:v>
                </c:pt>
                <c:pt idx="53">
                  <c:v>5426600</c:v>
                </c:pt>
                <c:pt idx="54">
                  <c:v>4623200</c:v>
                </c:pt>
                <c:pt idx="55">
                  <c:v>5618800</c:v>
                </c:pt>
                <c:pt idx="56">
                  <c:v>4221900</c:v>
                </c:pt>
                <c:pt idx="57">
                  <c:v>5341500</c:v>
                </c:pt>
                <c:pt idx="58">
                  <c:v>4318600</c:v>
                </c:pt>
                <c:pt idx="59">
                  <c:v>5064100</c:v>
                </c:pt>
                <c:pt idx="60">
                  <c:v>3879700</c:v>
                </c:pt>
                <c:pt idx="61">
                  <c:v>3988600</c:v>
                </c:pt>
              </c:numCache>
            </c:numRef>
          </c:yVal>
        </c:ser>
        <c:axId val="160557312"/>
        <c:axId val="179314688"/>
      </c:scatterChart>
      <c:valAx>
        <c:axId val="160557312"/>
        <c:scaling>
          <c:orientation val="minMax"/>
        </c:scaling>
        <c:axPos val="b"/>
        <c:numFmt formatCode="General" sourceLinked="1"/>
        <c:majorTickMark val="none"/>
        <c:tickLblPos val="nextTo"/>
        <c:crossAx val="179314688"/>
        <c:crosses val="autoZero"/>
        <c:crossBetween val="midCat"/>
      </c:valAx>
      <c:valAx>
        <c:axId val="179314688"/>
        <c:scaling>
          <c:orientation val="minMax"/>
        </c:scaling>
        <c:axPos val="l"/>
        <c:numFmt formatCode="General" sourceLinked="1"/>
        <c:majorTickMark val="none"/>
        <c:tickLblPos val="nextTo"/>
        <c:crossAx val="160557312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'[1]All Data figure'!$E$140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'[1]All Data figure'!$E$141:$E$203</c:f>
              <c:numCache>
                <c:formatCode>General</c:formatCode>
                <c:ptCount val="63"/>
                <c:pt idx="1">
                  <c:v>358.510009765625</c:v>
                </c:pt>
                <c:pt idx="2">
                  <c:v>360.01998901367102</c:v>
                </c:pt>
                <c:pt idx="3">
                  <c:v>372.41000366210898</c:v>
                </c:pt>
                <c:pt idx="4">
                  <c:v>359.16000366210898</c:v>
                </c:pt>
                <c:pt idx="5">
                  <c:v>349.5</c:v>
                </c:pt>
                <c:pt idx="6">
                  <c:v>357.54998779296801</c:v>
                </c:pt>
                <c:pt idx="7">
                  <c:v>356.63000488281199</c:v>
                </c:pt>
                <c:pt idx="8">
                  <c:v>355</c:v>
                </c:pt>
                <c:pt idx="9">
                  <c:v>347.91000366210898</c:v>
                </c:pt>
                <c:pt idx="10">
                  <c:v>342.850006103515</c:v>
                </c:pt>
                <c:pt idx="11">
                  <c:v>337.5</c:v>
                </c:pt>
                <c:pt idx="12">
                  <c:v>331.23001098632801</c:v>
                </c:pt>
                <c:pt idx="13">
                  <c:v>319.29998779296801</c:v>
                </c:pt>
                <c:pt idx="14">
                  <c:v>323.86999511718699</c:v>
                </c:pt>
                <c:pt idx="15">
                  <c:v>323.70001220703102</c:v>
                </c:pt>
                <c:pt idx="16">
                  <c:v>321.54998779296801</c:v>
                </c:pt>
                <c:pt idx="17">
                  <c:v>310.95999145507801</c:v>
                </c:pt>
                <c:pt idx="18">
                  <c:v>315.45001220703102</c:v>
                </c:pt>
                <c:pt idx="19">
                  <c:v>317</c:v>
                </c:pt>
                <c:pt idx="20">
                  <c:v>312.67999267578102</c:v>
                </c:pt>
                <c:pt idx="21">
                  <c:v>309.29000854492102</c:v>
                </c:pt>
                <c:pt idx="22">
                  <c:v>312.079986572265</c:v>
                </c:pt>
                <c:pt idx="23">
                  <c:v>297.89999389648398</c:v>
                </c:pt>
                <c:pt idx="24">
                  <c:v>287.33999633789</c:v>
                </c:pt>
                <c:pt idx="25">
                  <c:v>295.97000122070301</c:v>
                </c:pt>
                <c:pt idx="26">
                  <c:v>292.510009765625</c:v>
                </c:pt>
                <c:pt idx="27">
                  <c:v>304.75</c:v>
                </c:pt>
                <c:pt idx="28">
                  <c:v>310.05999755859301</c:v>
                </c:pt>
                <c:pt idx="29">
                  <c:v>299.79000854492102</c:v>
                </c:pt>
                <c:pt idx="30">
                  <c:v>306.32000732421801</c:v>
                </c:pt>
                <c:pt idx="31">
                  <c:v>306.30999755859301</c:v>
                </c:pt>
                <c:pt idx="32">
                  <c:v>304.67999267578102</c:v>
                </c:pt>
                <c:pt idx="33">
                  <c:v>320.63000488281199</c:v>
                </c:pt>
                <c:pt idx="34">
                  <c:v>327.54998779296801</c:v>
                </c:pt>
                <c:pt idx="35">
                  <c:v>326.05999755859301</c:v>
                </c:pt>
                <c:pt idx="36">
                  <c:v>326.29000854492102</c:v>
                </c:pt>
                <c:pt idx="37">
                  <c:v>340.26998901367102</c:v>
                </c:pt>
                <c:pt idx="38">
                  <c:v>340.04998779296801</c:v>
                </c:pt>
                <c:pt idx="39">
                  <c:v>341.829986572265</c:v>
                </c:pt>
                <c:pt idx="40">
                  <c:v>348.489990234375</c:v>
                </c:pt>
                <c:pt idx="41">
                  <c:v>345.29998779296801</c:v>
                </c:pt>
                <c:pt idx="42">
                  <c:v>339.33999633789</c:v>
                </c:pt>
                <c:pt idx="43">
                  <c:v>335.26998901367102</c:v>
                </c:pt>
                <c:pt idx="44">
                  <c:v>343.45001220703102</c:v>
                </c:pt>
                <c:pt idx="45">
                  <c:v>340.80999755859301</c:v>
                </c:pt>
                <c:pt idx="46">
                  <c:v>339.989990234375</c:v>
                </c:pt>
                <c:pt idx="47">
                  <c:v>342.94000244140602</c:v>
                </c:pt>
                <c:pt idx="48">
                  <c:v>338</c:v>
                </c:pt>
                <c:pt idx="49">
                  <c:v>335</c:v>
                </c:pt>
                <c:pt idx="50">
                  <c:v>324.20999145507801</c:v>
                </c:pt>
                <c:pt idx="51">
                  <c:v>320.39001464843699</c:v>
                </c:pt>
                <c:pt idx="52">
                  <c:v>323</c:v>
                </c:pt>
                <c:pt idx="53">
                  <c:v>330.20001220703102</c:v>
                </c:pt>
                <c:pt idx="54">
                  <c:v>328.5</c:v>
                </c:pt>
                <c:pt idx="55">
                  <c:v>321.35998535156199</c:v>
                </c:pt>
                <c:pt idx="56">
                  <c:v>324.29998779296801</c:v>
                </c:pt>
                <c:pt idx="57">
                  <c:v>325.239990234375</c:v>
                </c:pt>
                <c:pt idx="58">
                  <c:v>329.44000244140602</c:v>
                </c:pt>
                <c:pt idx="59">
                  <c:v>325</c:v>
                </c:pt>
                <c:pt idx="60">
                  <c:v>317.54998779296801</c:v>
                </c:pt>
                <c:pt idx="61">
                  <c:v>319.010009765625</c:v>
                </c:pt>
                <c:pt idx="62">
                  <c:v>323.60998535156199</c:v>
                </c:pt>
              </c:numCache>
            </c:numRef>
          </c:val>
        </c:ser>
        <c:axId val="160582656"/>
        <c:axId val="160588544"/>
      </c:barChart>
      <c:stockChart>
        <c:ser>
          <c:idx val="1"/>
          <c:order val="1"/>
          <c:tx>
            <c:strRef>
              <c:f>'[1]All Data figure'!$F$140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figure'!$F$141:$F$203</c:f>
              <c:numCache>
                <c:formatCode>General</c:formatCode>
                <c:ptCount val="63"/>
                <c:pt idx="1">
                  <c:v>364.17999267578102</c:v>
                </c:pt>
                <c:pt idx="2">
                  <c:v>368.19000244140602</c:v>
                </c:pt>
                <c:pt idx="3">
                  <c:v>373.829986572265</c:v>
                </c:pt>
                <c:pt idx="4">
                  <c:v>362.14001464843699</c:v>
                </c:pt>
                <c:pt idx="5">
                  <c:v>359.70001220703102</c:v>
                </c:pt>
                <c:pt idx="6">
                  <c:v>363.75</c:v>
                </c:pt>
                <c:pt idx="7">
                  <c:v>362.88000488281199</c:v>
                </c:pt>
                <c:pt idx="8">
                  <c:v>361.5</c:v>
                </c:pt>
                <c:pt idx="9">
                  <c:v>349</c:v>
                </c:pt>
                <c:pt idx="10">
                  <c:v>344.13000488281199</c:v>
                </c:pt>
                <c:pt idx="11">
                  <c:v>341.91000366210898</c:v>
                </c:pt>
                <c:pt idx="12">
                  <c:v>331.27999877929602</c:v>
                </c:pt>
                <c:pt idx="13">
                  <c:v>321.5</c:v>
                </c:pt>
                <c:pt idx="14">
                  <c:v>330</c:v>
                </c:pt>
                <c:pt idx="15">
                  <c:v>327.61999511718699</c:v>
                </c:pt>
                <c:pt idx="16">
                  <c:v>326.600006103515</c:v>
                </c:pt>
                <c:pt idx="17">
                  <c:v>315.57000732421801</c:v>
                </c:pt>
                <c:pt idx="18">
                  <c:v>317.489990234375</c:v>
                </c:pt>
                <c:pt idx="19">
                  <c:v>323.29998779296801</c:v>
                </c:pt>
                <c:pt idx="20">
                  <c:v>314.29998779296801</c:v>
                </c:pt>
                <c:pt idx="21">
                  <c:v>311.829986572265</c:v>
                </c:pt>
                <c:pt idx="22">
                  <c:v>312.510009765625</c:v>
                </c:pt>
                <c:pt idx="23">
                  <c:v>298.79000854492102</c:v>
                </c:pt>
                <c:pt idx="24">
                  <c:v>299.239990234375</c:v>
                </c:pt>
                <c:pt idx="25">
                  <c:v>297.45001220703102</c:v>
                </c:pt>
                <c:pt idx="26">
                  <c:v>306.30999755859301</c:v>
                </c:pt>
                <c:pt idx="27">
                  <c:v>316.600006103515</c:v>
                </c:pt>
                <c:pt idx="28">
                  <c:v>310.760009765625</c:v>
                </c:pt>
                <c:pt idx="29">
                  <c:v>307.5</c:v>
                </c:pt>
                <c:pt idx="30">
                  <c:v>307.92001342773398</c:v>
                </c:pt>
                <c:pt idx="31">
                  <c:v>306.45001220703102</c:v>
                </c:pt>
                <c:pt idx="32">
                  <c:v>322.77999877929602</c:v>
                </c:pt>
                <c:pt idx="33">
                  <c:v>331.829986572265</c:v>
                </c:pt>
                <c:pt idx="34">
                  <c:v>336.44000244140602</c:v>
                </c:pt>
                <c:pt idx="35">
                  <c:v>333.32000732421801</c:v>
                </c:pt>
                <c:pt idx="36">
                  <c:v>332.850006103515</c:v>
                </c:pt>
                <c:pt idx="37">
                  <c:v>343.29000854492102</c:v>
                </c:pt>
                <c:pt idx="38">
                  <c:v>345.83999633789</c:v>
                </c:pt>
                <c:pt idx="39">
                  <c:v>348.579986572265</c:v>
                </c:pt>
                <c:pt idx="40">
                  <c:v>349.79998779296801</c:v>
                </c:pt>
                <c:pt idx="41">
                  <c:v>345.42999267578102</c:v>
                </c:pt>
                <c:pt idx="42">
                  <c:v>340.48001098632801</c:v>
                </c:pt>
                <c:pt idx="43">
                  <c:v>339.88000488281199</c:v>
                </c:pt>
                <c:pt idx="44">
                  <c:v>347.14001464843699</c:v>
                </c:pt>
                <c:pt idx="45">
                  <c:v>342.79998779296801</c:v>
                </c:pt>
                <c:pt idx="46">
                  <c:v>346.42999267578102</c:v>
                </c:pt>
                <c:pt idx="47">
                  <c:v>344.850006103515</c:v>
                </c:pt>
                <c:pt idx="48">
                  <c:v>338.39001464843699</c:v>
                </c:pt>
                <c:pt idx="49">
                  <c:v>337.19000244140602</c:v>
                </c:pt>
                <c:pt idx="50">
                  <c:v>325.75</c:v>
                </c:pt>
                <c:pt idx="51">
                  <c:v>331.42999267578102</c:v>
                </c:pt>
                <c:pt idx="52">
                  <c:v>328.29000854492102</c:v>
                </c:pt>
                <c:pt idx="53">
                  <c:v>334.66000366210898</c:v>
                </c:pt>
                <c:pt idx="54">
                  <c:v>328.66000366210898</c:v>
                </c:pt>
                <c:pt idx="55">
                  <c:v>325.89999389648398</c:v>
                </c:pt>
                <c:pt idx="56">
                  <c:v>327.45001220703102</c:v>
                </c:pt>
                <c:pt idx="57">
                  <c:v>330.80999755859301</c:v>
                </c:pt>
                <c:pt idx="58">
                  <c:v>331.23001098632801</c:v>
                </c:pt>
                <c:pt idx="59">
                  <c:v>326.07000732421801</c:v>
                </c:pt>
                <c:pt idx="60">
                  <c:v>324.61999511718699</c:v>
                </c:pt>
                <c:pt idx="61">
                  <c:v>323.60998535156199</c:v>
                </c:pt>
                <c:pt idx="62">
                  <c:v>324.14999389648398</c:v>
                </c:pt>
              </c:numCache>
            </c:numRef>
          </c:val>
        </c:ser>
        <c:ser>
          <c:idx val="2"/>
          <c:order val="2"/>
          <c:tx>
            <c:strRef>
              <c:f>'[1]All Data figure'!$G$140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figure'!$G$141:$G$203</c:f>
              <c:numCache>
                <c:formatCode>General</c:formatCode>
                <c:ptCount val="63"/>
                <c:pt idx="1">
                  <c:v>354.17999267578102</c:v>
                </c:pt>
                <c:pt idx="2">
                  <c:v>358.30999755859301</c:v>
                </c:pt>
                <c:pt idx="3">
                  <c:v>361.739990234375</c:v>
                </c:pt>
                <c:pt idx="4">
                  <c:v>347.14001464843699</c:v>
                </c:pt>
                <c:pt idx="5">
                  <c:v>344.25</c:v>
                </c:pt>
                <c:pt idx="6">
                  <c:v>353.39999389648398</c:v>
                </c:pt>
                <c:pt idx="7">
                  <c:v>354.239990234375</c:v>
                </c:pt>
                <c:pt idx="8">
                  <c:v>350.30999755859301</c:v>
                </c:pt>
                <c:pt idx="9">
                  <c:v>342.44000244140602</c:v>
                </c:pt>
                <c:pt idx="10">
                  <c:v>336.42001342773398</c:v>
                </c:pt>
                <c:pt idx="11">
                  <c:v>332.82000732421801</c:v>
                </c:pt>
                <c:pt idx="12">
                  <c:v>314.29998779296801</c:v>
                </c:pt>
                <c:pt idx="13">
                  <c:v>314.51998901367102</c:v>
                </c:pt>
                <c:pt idx="14">
                  <c:v>322.11999511718699</c:v>
                </c:pt>
                <c:pt idx="15">
                  <c:v>321.17001342773398</c:v>
                </c:pt>
                <c:pt idx="16">
                  <c:v>312.35998535156199</c:v>
                </c:pt>
                <c:pt idx="17">
                  <c:v>310.38000488281199</c:v>
                </c:pt>
                <c:pt idx="18">
                  <c:v>310.82000732421801</c:v>
                </c:pt>
                <c:pt idx="19">
                  <c:v>311.83999633789</c:v>
                </c:pt>
                <c:pt idx="20">
                  <c:v>306.61999511718699</c:v>
                </c:pt>
                <c:pt idx="21">
                  <c:v>305.75</c:v>
                </c:pt>
                <c:pt idx="22">
                  <c:v>294.88000488281199</c:v>
                </c:pt>
                <c:pt idx="23">
                  <c:v>289</c:v>
                </c:pt>
                <c:pt idx="24">
                  <c:v>285.329986572265</c:v>
                </c:pt>
                <c:pt idx="25">
                  <c:v>290.30999755859301</c:v>
                </c:pt>
                <c:pt idx="26">
                  <c:v>292.27999877929602</c:v>
                </c:pt>
                <c:pt idx="27">
                  <c:v>301.70999145507801</c:v>
                </c:pt>
                <c:pt idx="28">
                  <c:v>300</c:v>
                </c:pt>
                <c:pt idx="29">
                  <c:v>296</c:v>
                </c:pt>
                <c:pt idx="30">
                  <c:v>300.42999267578102</c:v>
                </c:pt>
                <c:pt idx="31">
                  <c:v>293.54000854492102</c:v>
                </c:pt>
                <c:pt idx="32">
                  <c:v>304.14001464843699</c:v>
                </c:pt>
                <c:pt idx="33">
                  <c:v>320.63000488281199</c:v>
                </c:pt>
                <c:pt idx="34">
                  <c:v>324.41000366210898</c:v>
                </c:pt>
                <c:pt idx="35">
                  <c:v>321.27999877929602</c:v>
                </c:pt>
                <c:pt idx="36">
                  <c:v>325.73001098632801</c:v>
                </c:pt>
                <c:pt idx="37">
                  <c:v>335.29998779296801</c:v>
                </c:pt>
                <c:pt idx="38">
                  <c:v>337.20001220703102</c:v>
                </c:pt>
                <c:pt idx="39">
                  <c:v>340.39999389648398</c:v>
                </c:pt>
                <c:pt idx="40">
                  <c:v>343.95001220703102</c:v>
                </c:pt>
                <c:pt idx="41">
                  <c:v>336.25</c:v>
                </c:pt>
                <c:pt idx="42">
                  <c:v>332.63000488281199</c:v>
                </c:pt>
                <c:pt idx="43">
                  <c:v>333.35998535156199</c:v>
                </c:pt>
                <c:pt idx="44">
                  <c:v>337.64001464843699</c:v>
                </c:pt>
                <c:pt idx="45">
                  <c:v>330.04000854492102</c:v>
                </c:pt>
                <c:pt idx="46">
                  <c:v>338.75</c:v>
                </c:pt>
                <c:pt idx="47">
                  <c:v>336.41000366210898</c:v>
                </c:pt>
                <c:pt idx="48">
                  <c:v>327.5</c:v>
                </c:pt>
                <c:pt idx="49">
                  <c:v>330.5</c:v>
                </c:pt>
                <c:pt idx="50">
                  <c:v>316.100006103515</c:v>
                </c:pt>
                <c:pt idx="51">
                  <c:v>318.329986572265</c:v>
                </c:pt>
                <c:pt idx="52">
                  <c:v>319.5</c:v>
                </c:pt>
                <c:pt idx="53">
                  <c:v>326.75</c:v>
                </c:pt>
                <c:pt idx="54">
                  <c:v>321.100006103515</c:v>
                </c:pt>
                <c:pt idx="55">
                  <c:v>320.47000122070301</c:v>
                </c:pt>
                <c:pt idx="56">
                  <c:v>317.44000244140602</c:v>
                </c:pt>
                <c:pt idx="57">
                  <c:v>324</c:v>
                </c:pt>
                <c:pt idx="58">
                  <c:v>318.08999633789</c:v>
                </c:pt>
                <c:pt idx="59">
                  <c:v>315.61999511718699</c:v>
                </c:pt>
                <c:pt idx="60">
                  <c:v>315.850006103515</c:v>
                </c:pt>
                <c:pt idx="61">
                  <c:v>317.95001220703102</c:v>
                </c:pt>
                <c:pt idx="62">
                  <c:v>319.44000244140602</c:v>
                </c:pt>
              </c:numCache>
            </c:numRef>
          </c:val>
        </c:ser>
        <c:ser>
          <c:idx val="3"/>
          <c:order val="3"/>
          <c:tx>
            <c:strRef>
              <c:f>'[1]All Data figure'!$H$140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figure'!$H$141:$H$203</c:f>
              <c:numCache>
                <c:formatCode>General</c:formatCode>
                <c:ptCount val="63"/>
                <c:pt idx="1">
                  <c:v>362.95001220703102</c:v>
                </c:pt>
                <c:pt idx="2">
                  <c:v>366.829986572265</c:v>
                </c:pt>
                <c:pt idx="3">
                  <c:v>362.5</c:v>
                </c:pt>
                <c:pt idx="4">
                  <c:v>347.35998535156199</c:v>
                </c:pt>
                <c:pt idx="5">
                  <c:v>358.57000732421801</c:v>
                </c:pt>
                <c:pt idx="6">
                  <c:v>359.95999145507801</c:v>
                </c:pt>
                <c:pt idx="7">
                  <c:v>361.42001342773398</c:v>
                </c:pt>
                <c:pt idx="8">
                  <c:v>350.70999145507801</c:v>
                </c:pt>
                <c:pt idx="9">
                  <c:v>347.95999145507801</c:v>
                </c:pt>
                <c:pt idx="10">
                  <c:v>337.5</c:v>
                </c:pt>
                <c:pt idx="11">
                  <c:v>334.88000488281199</c:v>
                </c:pt>
                <c:pt idx="12">
                  <c:v>323.64999389648398</c:v>
                </c:pt>
                <c:pt idx="13">
                  <c:v>317.14999389648398</c:v>
                </c:pt>
                <c:pt idx="14">
                  <c:v>323.02999877929602</c:v>
                </c:pt>
                <c:pt idx="15">
                  <c:v>322.13000488281199</c:v>
                </c:pt>
                <c:pt idx="16">
                  <c:v>313.48001098632801</c:v>
                </c:pt>
                <c:pt idx="17">
                  <c:v>311.88000488281199</c:v>
                </c:pt>
                <c:pt idx="18">
                  <c:v>315.17999267578102</c:v>
                </c:pt>
                <c:pt idx="19">
                  <c:v>312.02999877929602</c:v>
                </c:pt>
                <c:pt idx="20">
                  <c:v>308.47000122070301</c:v>
                </c:pt>
                <c:pt idx="21">
                  <c:v>311.79000854492102</c:v>
                </c:pt>
                <c:pt idx="22">
                  <c:v>297.77999877929602</c:v>
                </c:pt>
                <c:pt idx="23">
                  <c:v>292.760009765625</c:v>
                </c:pt>
                <c:pt idx="24">
                  <c:v>293.510009765625</c:v>
                </c:pt>
                <c:pt idx="25">
                  <c:v>294.94000244140602</c:v>
                </c:pt>
                <c:pt idx="26">
                  <c:v>303.79000854492102</c:v>
                </c:pt>
                <c:pt idx="27">
                  <c:v>310.05999755859301</c:v>
                </c:pt>
                <c:pt idx="28">
                  <c:v>303.5</c:v>
                </c:pt>
                <c:pt idx="29">
                  <c:v>305.13000488281199</c:v>
                </c:pt>
                <c:pt idx="30">
                  <c:v>305.79000854492102</c:v>
                </c:pt>
                <c:pt idx="31">
                  <c:v>293.89999389648398</c:v>
                </c:pt>
                <c:pt idx="32">
                  <c:v>320.36999511718699</c:v>
                </c:pt>
                <c:pt idx="33">
                  <c:v>328.39001464843699</c:v>
                </c:pt>
                <c:pt idx="34">
                  <c:v>327.66000366210898</c:v>
                </c:pt>
                <c:pt idx="35">
                  <c:v>323.51998901367102</c:v>
                </c:pt>
                <c:pt idx="36">
                  <c:v>332.02999877929602</c:v>
                </c:pt>
                <c:pt idx="37">
                  <c:v>338.42999267578102</c:v>
                </c:pt>
                <c:pt idx="38">
                  <c:v>345.48001098632801</c:v>
                </c:pt>
                <c:pt idx="39">
                  <c:v>348.27999877929602</c:v>
                </c:pt>
                <c:pt idx="40">
                  <c:v>346.75</c:v>
                </c:pt>
                <c:pt idx="41">
                  <c:v>342.350006103515</c:v>
                </c:pt>
                <c:pt idx="42">
                  <c:v>339.329986572265</c:v>
                </c:pt>
                <c:pt idx="43">
                  <c:v>338.989990234375</c:v>
                </c:pt>
                <c:pt idx="44">
                  <c:v>338.20999145507801</c:v>
                </c:pt>
                <c:pt idx="45">
                  <c:v>331.02999877929602</c:v>
                </c:pt>
                <c:pt idx="46">
                  <c:v>346.19000244140602</c:v>
                </c:pt>
                <c:pt idx="47">
                  <c:v>338.63000488281199</c:v>
                </c:pt>
                <c:pt idx="48">
                  <c:v>332.72000122070301</c:v>
                </c:pt>
                <c:pt idx="49">
                  <c:v>333.70001220703102</c:v>
                </c:pt>
                <c:pt idx="50">
                  <c:v>323.11999511718699</c:v>
                </c:pt>
                <c:pt idx="51">
                  <c:v>325.350006103515</c:v>
                </c:pt>
                <c:pt idx="52">
                  <c:v>327.98001098632801</c:v>
                </c:pt>
                <c:pt idx="53">
                  <c:v>329.01998901367102</c:v>
                </c:pt>
                <c:pt idx="54">
                  <c:v>322.54998779296801</c:v>
                </c:pt>
                <c:pt idx="55">
                  <c:v>321.14999389648398</c:v>
                </c:pt>
                <c:pt idx="56">
                  <c:v>325.850006103515</c:v>
                </c:pt>
                <c:pt idx="57">
                  <c:v>329.92999267578102</c:v>
                </c:pt>
                <c:pt idx="58">
                  <c:v>324.11999511718699</c:v>
                </c:pt>
                <c:pt idx="59">
                  <c:v>317.54998779296801</c:v>
                </c:pt>
                <c:pt idx="60">
                  <c:v>319.29998779296801</c:v>
                </c:pt>
                <c:pt idx="61">
                  <c:v>320.77999877929602</c:v>
                </c:pt>
                <c:pt idx="62">
                  <c:v>322.760009765625</c:v>
                </c:pt>
              </c:numCache>
            </c:numRef>
          </c:val>
        </c:ser>
        <c:ser>
          <c:idx val="4"/>
          <c:order val="4"/>
          <c:tx>
            <c:strRef>
              <c:f>'[1]All Data figure'!$I$140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figure'!$I$141:$I$203</c:f>
              <c:numCache>
                <c:formatCode>General</c:formatCode>
                <c:ptCount val="63"/>
                <c:pt idx="1">
                  <c:v>362.95001220703102</c:v>
                </c:pt>
                <c:pt idx="2">
                  <c:v>366.829986572265</c:v>
                </c:pt>
                <c:pt idx="3">
                  <c:v>362.5</c:v>
                </c:pt>
                <c:pt idx="4">
                  <c:v>347.35998535156199</c:v>
                </c:pt>
                <c:pt idx="5">
                  <c:v>358.57000732421801</c:v>
                </c:pt>
                <c:pt idx="6">
                  <c:v>359.95999145507801</c:v>
                </c:pt>
                <c:pt idx="7">
                  <c:v>361.42001342773398</c:v>
                </c:pt>
                <c:pt idx="8">
                  <c:v>350.70999145507801</c:v>
                </c:pt>
                <c:pt idx="9">
                  <c:v>347.95999145507801</c:v>
                </c:pt>
                <c:pt idx="10">
                  <c:v>337.5</c:v>
                </c:pt>
                <c:pt idx="11">
                  <c:v>334.88000488281199</c:v>
                </c:pt>
                <c:pt idx="12">
                  <c:v>323.64999389648398</c:v>
                </c:pt>
                <c:pt idx="13">
                  <c:v>317.14999389648398</c:v>
                </c:pt>
                <c:pt idx="14">
                  <c:v>323.02999877929602</c:v>
                </c:pt>
                <c:pt idx="15">
                  <c:v>322.13000488281199</c:v>
                </c:pt>
                <c:pt idx="16">
                  <c:v>313.48001098632801</c:v>
                </c:pt>
                <c:pt idx="17">
                  <c:v>311.88000488281199</c:v>
                </c:pt>
                <c:pt idx="18">
                  <c:v>315.17999267578102</c:v>
                </c:pt>
                <c:pt idx="19">
                  <c:v>312.02999877929602</c:v>
                </c:pt>
                <c:pt idx="20">
                  <c:v>308.47000122070301</c:v>
                </c:pt>
                <c:pt idx="21">
                  <c:v>311.79000854492102</c:v>
                </c:pt>
                <c:pt idx="22">
                  <c:v>297.77999877929602</c:v>
                </c:pt>
                <c:pt idx="23">
                  <c:v>292.760009765625</c:v>
                </c:pt>
                <c:pt idx="24">
                  <c:v>293.510009765625</c:v>
                </c:pt>
                <c:pt idx="25">
                  <c:v>294.94000244140602</c:v>
                </c:pt>
                <c:pt idx="26">
                  <c:v>303.79000854492102</c:v>
                </c:pt>
                <c:pt idx="27">
                  <c:v>310.05999755859301</c:v>
                </c:pt>
                <c:pt idx="28">
                  <c:v>303.5</c:v>
                </c:pt>
                <c:pt idx="29">
                  <c:v>305.13000488281199</c:v>
                </c:pt>
                <c:pt idx="30">
                  <c:v>305.79000854492102</c:v>
                </c:pt>
                <c:pt idx="31">
                  <c:v>293.89999389648398</c:v>
                </c:pt>
                <c:pt idx="32">
                  <c:v>320.36999511718699</c:v>
                </c:pt>
                <c:pt idx="33">
                  <c:v>328.39001464843699</c:v>
                </c:pt>
                <c:pt idx="34">
                  <c:v>327.66000366210898</c:v>
                </c:pt>
                <c:pt idx="35">
                  <c:v>323.51998901367102</c:v>
                </c:pt>
                <c:pt idx="36">
                  <c:v>332.02999877929602</c:v>
                </c:pt>
                <c:pt idx="37">
                  <c:v>338.42999267578102</c:v>
                </c:pt>
                <c:pt idx="38">
                  <c:v>345.48001098632801</c:v>
                </c:pt>
                <c:pt idx="39">
                  <c:v>348.27999877929602</c:v>
                </c:pt>
                <c:pt idx="40">
                  <c:v>346.75</c:v>
                </c:pt>
                <c:pt idx="41">
                  <c:v>342.350006103515</c:v>
                </c:pt>
                <c:pt idx="42">
                  <c:v>339.329986572265</c:v>
                </c:pt>
                <c:pt idx="43">
                  <c:v>338.989990234375</c:v>
                </c:pt>
                <c:pt idx="44">
                  <c:v>338.20999145507801</c:v>
                </c:pt>
                <c:pt idx="45">
                  <c:v>331.02999877929602</c:v>
                </c:pt>
                <c:pt idx="46">
                  <c:v>346.19000244140602</c:v>
                </c:pt>
                <c:pt idx="47">
                  <c:v>338.63000488281199</c:v>
                </c:pt>
                <c:pt idx="48">
                  <c:v>332.72000122070301</c:v>
                </c:pt>
                <c:pt idx="49">
                  <c:v>333.70001220703102</c:v>
                </c:pt>
                <c:pt idx="50">
                  <c:v>323.11999511718699</c:v>
                </c:pt>
                <c:pt idx="51">
                  <c:v>325.350006103515</c:v>
                </c:pt>
                <c:pt idx="52">
                  <c:v>327.98001098632801</c:v>
                </c:pt>
                <c:pt idx="53">
                  <c:v>329.01998901367102</c:v>
                </c:pt>
                <c:pt idx="54">
                  <c:v>322.54998779296801</c:v>
                </c:pt>
                <c:pt idx="55">
                  <c:v>321.14999389648398</c:v>
                </c:pt>
                <c:pt idx="56">
                  <c:v>325.850006103515</c:v>
                </c:pt>
                <c:pt idx="57">
                  <c:v>329.92999267578102</c:v>
                </c:pt>
                <c:pt idx="58">
                  <c:v>324.11999511718699</c:v>
                </c:pt>
                <c:pt idx="59">
                  <c:v>317.54998779296801</c:v>
                </c:pt>
                <c:pt idx="60">
                  <c:v>319.29998779296801</c:v>
                </c:pt>
                <c:pt idx="61">
                  <c:v>320.77999877929602</c:v>
                </c:pt>
                <c:pt idx="62">
                  <c:v>322.760009765625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160591872"/>
        <c:axId val="160590080"/>
      </c:stockChart>
      <c:catAx>
        <c:axId val="160582656"/>
        <c:scaling>
          <c:orientation val="minMax"/>
        </c:scaling>
        <c:axPos val="b"/>
        <c:majorTickMark val="none"/>
        <c:tickLblPos val="nextTo"/>
        <c:crossAx val="160588544"/>
        <c:crosses val="autoZero"/>
        <c:auto val="1"/>
        <c:lblAlgn val="ctr"/>
        <c:lblOffset val="100"/>
      </c:catAx>
      <c:valAx>
        <c:axId val="160588544"/>
        <c:scaling>
          <c:orientation val="minMax"/>
        </c:scaling>
        <c:axPos val="l"/>
        <c:numFmt formatCode="General" sourceLinked="1"/>
        <c:majorTickMark val="none"/>
        <c:tickLblPos val="nextTo"/>
        <c:crossAx val="160582656"/>
        <c:crosses val="autoZero"/>
        <c:crossBetween val="between"/>
      </c:valAx>
      <c:valAx>
        <c:axId val="160590080"/>
        <c:scaling>
          <c:orientation val="minMax"/>
        </c:scaling>
        <c:axPos val="r"/>
        <c:numFmt formatCode="General" sourceLinked="1"/>
        <c:tickLblPos val="nextTo"/>
        <c:crossAx val="160591872"/>
        <c:crosses val="max"/>
        <c:crossBetween val="between"/>
      </c:valAx>
      <c:catAx>
        <c:axId val="160591872"/>
        <c:scaling>
          <c:orientation val="minMax"/>
        </c:scaling>
        <c:delete val="1"/>
        <c:axPos val="b"/>
        <c:tickLblPos val="nextTo"/>
        <c:crossAx val="160590080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2">
                <a:lumMod val="50000"/>
              </a:schemeClr>
            </a:solidFill>
          </c:spPr>
          <c:cat>
            <c:numRef>
              <c:f>'[1]All Data figure'!$D$143:$D$203</c:f>
              <c:numCache>
                <c:formatCode>General</c:formatCode>
                <c:ptCount val="61"/>
                <c:pt idx="0">
                  <c:v>44965</c:v>
                </c:pt>
                <c:pt idx="1">
                  <c:v>44966</c:v>
                </c:pt>
                <c:pt idx="2">
                  <c:v>44967</c:v>
                </c:pt>
                <c:pt idx="3">
                  <c:v>44970</c:v>
                </c:pt>
                <c:pt idx="4">
                  <c:v>44971</c:v>
                </c:pt>
                <c:pt idx="5">
                  <c:v>44972</c:v>
                </c:pt>
                <c:pt idx="6">
                  <c:v>44973</c:v>
                </c:pt>
                <c:pt idx="7">
                  <c:v>44974</c:v>
                </c:pt>
                <c:pt idx="8">
                  <c:v>44978</c:v>
                </c:pt>
                <c:pt idx="9">
                  <c:v>44979</c:v>
                </c:pt>
                <c:pt idx="10">
                  <c:v>44980</c:v>
                </c:pt>
                <c:pt idx="11">
                  <c:v>44981</c:v>
                </c:pt>
                <c:pt idx="12">
                  <c:v>44984</c:v>
                </c:pt>
                <c:pt idx="13">
                  <c:v>44985</c:v>
                </c:pt>
                <c:pt idx="14">
                  <c:v>44986</c:v>
                </c:pt>
                <c:pt idx="15">
                  <c:v>44987</c:v>
                </c:pt>
                <c:pt idx="16">
                  <c:v>44988</c:v>
                </c:pt>
                <c:pt idx="17">
                  <c:v>44991</c:v>
                </c:pt>
                <c:pt idx="18">
                  <c:v>44992</c:v>
                </c:pt>
                <c:pt idx="19">
                  <c:v>44993</c:v>
                </c:pt>
                <c:pt idx="20">
                  <c:v>44994</c:v>
                </c:pt>
                <c:pt idx="21">
                  <c:v>44995</c:v>
                </c:pt>
                <c:pt idx="22">
                  <c:v>44998</c:v>
                </c:pt>
                <c:pt idx="23">
                  <c:v>44999</c:v>
                </c:pt>
                <c:pt idx="24">
                  <c:v>45000</c:v>
                </c:pt>
                <c:pt idx="25">
                  <c:v>45001</c:v>
                </c:pt>
                <c:pt idx="26">
                  <c:v>45002</c:v>
                </c:pt>
                <c:pt idx="27">
                  <c:v>45005</c:v>
                </c:pt>
                <c:pt idx="28">
                  <c:v>45006</c:v>
                </c:pt>
                <c:pt idx="29">
                  <c:v>45007</c:v>
                </c:pt>
                <c:pt idx="30">
                  <c:v>45008</c:v>
                </c:pt>
                <c:pt idx="31">
                  <c:v>45009</c:v>
                </c:pt>
                <c:pt idx="32">
                  <c:v>45012</c:v>
                </c:pt>
                <c:pt idx="33">
                  <c:v>45013</c:v>
                </c:pt>
                <c:pt idx="34">
                  <c:v>45014</c:v>
                </c:pt>
                <c:pt idx="35">
                  <c:v>45015</c:v>
                </c:pt>
                <c:pt idx="36">
                  <c:v>45016</c:v>
                </c:pt>
                <c:pt idx="37">
                  <c:v>45019</c:v>
                </c:pt>
                <c:pt idx="38">
                  <c:v>45020</c:v>
                </c:pt>
                <c:pt idx="39">
                  <c:v>45021</c:v>
                </c:pt>
                <c:pt idx="40">
                  <c:v>45022</c:v>
                </c:pt>
                <c:pt idx="41">
                  <c:v>45026</c:v>
                </c:pt>
                <c:pt idx="42">
                  <c:v>45027</c:v>
                </c:pt>
                <c:pt idx="43">
                  <c:v>45028</c:v>
                </c:pt>
                <c:pt idx="44">
                  <c:v>45029</c:v>
                </c:pt>
                <c:pt idx="45">
                  <c:v>45030</c:v>
                </c:pt>
                <c:pt idx="46">
                  <c:v>45033</c:v>
                </c:pt>
                <c:pt idx="47">
                  <c:v>45034</c:v>
                </c:pt>
                <c:pt idx="48">
                  <c:v>45035</c:v>
                </c:pt>
                <c:pt idx="49">
                  <c:v>45036</c:v>
                </c:pt>
                <c:pt idx="50">
                  <c:v>45037</c:v>
                </c:pt>
                <c:pt idx="51">
                  <c:v>45040</c:v>
                </c:pt>
                <c:pt idx="52">
                  <c:v>45041</c:v>
                </c:pt>
                <c:pt idx="53">
                  <c:v>45042</c:v>
                </c:pt>
                <c:pt idx="54">
                  <c:v>45043</c:v>
                </c:pt>
                <c:pt idx="55">
                  <c:v>45044</c:v>
                </c:pt>
                <c:pt idx="56">
                  <c:v>45047</c:v>
                </c:pt>
                <c:pt idx="57">
                  <c:v>45048</c:v>
                </c:pt>
                <c:pt idx="58">
                  <c:v>45049</c:v>
                </c:pt>
                <c:pt idx="59">
                  <c:v>45050</c:v>
                </c:pt>
                <c:pt idx="60">
                  <c:v>45051</c:v>
                </c:pt>
              </c:numCache>
            </c:numRef>
          </c:cat>
          <c:val>
            <c:numRef>
              <c:f>'[1]All Data figure'!$K$143:$K$203</c:f>
              <c:numCache>
                <c:formatCode>General</c:formatCode>
                <c:ptCount val="61"/>
                <c:pt idx="0">
                  <c:v>365.829986572265</c:v>
                </c:pt>
                <c:pt idx="1">
                  <c:v>361.5</c:v>
                </c:pt>
                <c:pt idx="2">
                  <c:v>346.35998535156199</c:v>
                </c:pt>
                <c:pt idx="3">
                  <c:v>357.57000732421801</c:v>
                </c:pt>
                <c:pt idx="4">
                  <c:v>358.95999145507801</c:v>
                </c:pt>
                <c:pt idx="5">
                  <c:v>360.42001342773398</c:v>
                </c:pt>
                <c:pt idx="6">
                  <c:v>349.70999145507801</c:v>
                </c:pt>
                <c:pt idx="7">
                  <c:v>346.95999145507801</c:v>
                </c:pt>
                <c:pt idx="8">
                  <c:v>336.5</c:v>
                </c:pt>
                <c:pt idx="9">
                  <c:v>333.88000488281199</c:v>
                </c:pt>
                <c:pt idx="10">
                  <c:v>322.64999389648398</c:v>
                </c:pt>
                <c:pt idx="11">
                  <c:v>316.14999389648398</c:v>
                </c:pt>
                <c:pt idx="12">
                  <c:v>322.02999877929602</c:v>
                </c:pt>
                <c:pt idx="13">
                  <c:v>321.13000488281199</c:v>
                </c:pt>
                <c:pt idx="14">
                  <c:v>312.48001098632801</c:v>
                </c:pt>
                <c:pt idx="15">
                  <c:v>310.88000488281199</c:v>
                </c:pt>
                <c:pt idx="16">
                  <c:v>314.17999267578102</c:v>
                </c:pt>
                <c:pt idx="17">
                  <c:v>311.02999877929602</c:v>
                </c:pt>
                <c:pt idx="18">
                  <c:v>307.47000122070301</c:v>
                </c:pt>
                <c:pt idx="19">
                  <c:v>310.79000854492102</c:v>
                </c:pt>
                <c:pt idx="20">
                  <c:v>296.77999877929602</c:v>
                </c:pt>
                <c:pt idx="21">
                  <c:v>291.760009765625</c:v>
                </c:pt>
                <c:pt idx="22">
                  <c:v>292.510009765625</c:v>
                </c:pt>
                <c:pt idx="23">
                  <c:v>293.94000244140602</c:v>
                </c:pt>
                <c:pt idx="24">
                  <c:v>302.79000854492102</c:v>
                </c:pt>
                <c:pt idx="25">
                  <c:v>309.05999755859301</c:v>
                </c:pt>
                <c:pt idx="26">
                  <c:v>302.5</c:v>
                </c:pt>
                <c:pt idx="27">
                  <c:v>304.13000488281199</c:v>
                </c:pt>
                <c:pt idx="28">
                  <c:v>304.79000854492102</c:v>
                </c:pt>
                <c:pt idx="29">
                  <c:v>292.89999389648398</c:v>
                </c:pt>
                <c:pt idx="30">
                  <c:v>319.36999511718699</c:v>
                </c:pt>
                <c:pt idx="31">
                  <c:v>327.39001464843699</c:v>
                </c:pt>
                <c:pt idx="32">
                  <c:v>326.66000366210898</c:v>
                </c:pt>
                <c:pt idx="33">
                  <c:v>322.51998901367102</c:v>
                </c:pt>
                <c:pt idx="34">
                  <c:v>331.02999877929602</c:v>
                </c:pt>
                <c:pt idx="35">
                  <c:v>337.42999267578102</c:v>
                </c:pt>
                <c:pt idx="36">
                  <c:v>344.48001098632801</c:v>
                </c:pt>
                <c:pt idx="37">
                  <c:v>347.27999877929602</c:v>
                </c:pt>
                <c:pt idx="38">
                  <c:v>345.75</c:v>
                </c:pt>
                <c:pt idx="39">
                  <c:v>341.350006103515</c:v>
                </c:pt>
                <c:pt idx="40">
                  <c:v>338.329986572265</c:v>
                </c:pt>
                <c:pt idx="41">
                  <c:v>337.989990234375</c:v>
                </c:pt>
                <c:pt idx="42">
                  <c:v>337.20999145507801</c:v>
                </c:pt>
                <c:pt idx="43">
                  <c:v>330.02999877929602</c:v>
                </c:pt>
                <c:pt idx="44">
                  <c:v>345.19000244140602</c:v>
                </c:pt>
                <c:pt idx="45">
                  <c:v>337.63000488281199</c:v>
                </c:pt>
                <c:pt idx="46">
                  <c:v>331.72000122070301</c:v>
                </c:pt>
                <c:pt idx="47">
                  <c:v>332.70001220703102</c:v>
                </c:pt>
                <c:pt idx="48">
                  <c:v>322.11999511718699</c:v>
                </c:pt>
                <c:pt idx="49">
                  <c:v>324.350006103515</c:v>
                </c:pt>
                <c:pt idx="50">
                  <c:v>326.98001098632801</c:v>
                </c:pt>
                <c:pt idx="51">
                  <c:v>328.01998901367102</c:v>
                </c:pt>
                <c:pt idx="52">
                  <c:v>321.54998779296801</c:v>
                </c:pt>
                <c:pt idx="53">
                  <c:v>320.14999389648398</c:v>
                </c:pt>
                <c:pt idx="54">
                  <c:v>324.850006103515</c:v>
                </c:pt>
                <c:pt idx="55">
                  <c:v>328.92999267578102</c:v>
                </c:pt>
                <c:pt idx="56">
                  <c:v>323.11999511718699</c:v>
                </c:pt>
                <c:pt idx="57">
                  <c:v>316.54998779296801</c:v>
                </c:pt>
                <c:pt idx="58">
                  <c:v>318.29998779296801</c:v>
                </c:pt>
                <c:pt idx="59">
                  <c:v>319.77999877929602</c:v>
                </c:pt>
                <c:pt idx="60">
                  <c:v>321.760009765625</c:v>
                </c:pt>
              </c:numCache>
            </c:numRef>
          </c:val>
        </c:ser>
        <c:overlap val="100"/>
        <c:axId val="179335168"/>
        <c:axId val="179351552"/>
      </c:barChart>
      <c:catAx>
        <c:axId val="179335168"/>
        <c:scaling>
          <c:orientation val="minMax"/>
        </c:scaling>
        <c:axPos val="b"/>
        <c:numFmt formatCode="General" sourceLinked="1"/>
        <c:tickLblPos val="nextTo"/>
        <c:crossAx val="179351552"/>
        <c:crosses val="autoZero"/>
        <c:auto val="1"/>
        <c:lblAlgn val="ctr"/>
        <c:lblOffset val="100"/>
      </c:catAx>
      <c:valAx>
        <c:axId val="179351552"/>
        <c:scaling>
          <c:orientation val="minMax"/>
        </c:scaling>
        <c:axPos val="l"/>
        <c:majorGridlines/>
        <c:numFmt formatCode="General" sourceLinked="1"/>
        <c:tickLblPos val="nextTo"/>
        <c:crossAx val="179335168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autoTitleDeleted val="1"/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'[1]All Data figure'!$H$208:$H$269</c:f>
              <c:numCache>
                <c:formatCode>General</c:formatCode>
                <c:ptCount val="62"/>
                <c:pt idx="0">
                  <c:v>108.040000915527</c:v>
                </c:pt>
                <c:pt idx="1">
                  <c:v>100</c:v>
                </c:pt>
                <c:pt idx="2">
                  <c:v>95.459999084472599</c:v>
                </c:pt>
                <c:pt idx="3">
                  <c:v>94.860000610351506</c:v>
                </c:pt>
                <c:pt idx="4">
                  <c:v>95</c:v>
                </c:pt>
                <c:pt idx="5">
                  <c:v>94.949996948242102</c:v>
                </c:pt>
                <c:pt idx="6">
                  <c:v>97.099998474121094</c:v>
                </c:pt>
                <c:pt idx="7">
                  <c:v>95.779998779296804</c:v>
                </c:pt>
                <c:pt idx="8">
                  <c:v>94.589996337890597</c:v>
                </c:pt>
                <c:pt idx="9">
                  <c:v>92.050003051757798</c:v>
                </c:pt>
                <c:pt idx="10">
                  <c:v>91.800003051757798</c:v>
                </c:pt>
                <c:pt idx="11">
                  <c:v>91.069999694824205</c:v>
                </c:pt>
                <c:pt idx="12">
                  <c:v>89.349998474121094</c:v>
                </c:pt>
                <c:pt idx="13">
                  <c:v>90.099998474121094</c:v>
                </c:pt>
                <c:pt idx="14">
                  <c:v>90.300003051757798</c:v>
                </c:pt>
                <c:pt idx="15">
                  <c:v>90.510002136230398</c:v>
                </c:pt>
                <c:pt idx="16">
                  <c:v>92.309997558593693</c:v>
                </c:pt>
                <c:pt idx="17">
                  <c:v>94.019996643066406</c:v>
                </c:pt>
                <c:pt idx="18">
                  <c:v>95.580001831054602</c:v>
                </c:pt>
                <c:pt idx="19">
                  <c:v>94.169998168945298</c:v>
                </c:pt>
                <c:pt idx="20">
                  <c:v>94.650001525878906</c:v>
                </c:pt>
                <c:pt idx="21">
                  <c:v>92.660003662109304</c:v>
                </c:pt>
                <c:pt idx="22">
                  <c:v>91.010002136230398</c:v>
                </c:pt>
                <c:pt idx="23">
                  <c:v>91.660003662109304</c:v>
                </c:pt>
                <c:pt idx="24">
                  <c:v>94.25</c:v>
                </c:pt>
                <c:pt idx="25">
                  <c:v>96.550003051757798</c:v>
                </c:pt>
                <c:pt idx="26">
                  <c:v>101.06999969482401</c:v>
                </c:pt>
                <c:pt idx="27">
                  <c:v>102.459999084472</c:v>
                </c:pt>
                <c:pt idx="28">
                  <c:v>101.930000305175</c:v>
                </c:pt>
                <c:pt idx="29">
                  <c:v>105.83999633789</c:v>
                </c:pt>
                <c:pt idx="30">
                  <c:v>104.220001220703</c:v>
                </c:pt>
                <c:pt idx="31">
                  <c:v>106.26000213623</c:v>
                </c:pt>
                <c:pt idx="32">
                  <c:v>106.059997558593</c:v>
                </c:pt>
                <c:pt idx="33">
                  <c:v>103.059997558593</c:v>
                </c:pt>
                <c:pt idx="34">
                  <c:v>101.36000061035099</c:v>
                </c:pt>
                <c:pt idx="35">
                  <c:v>101.900001525878</c:v>
                </c:pt>
                <c:pt idx="36">
                  <c:v>101.31999969482401</c:v>
                </c:pt>
                <c:pt idx="37">
                  <c:v>104</c:v>
                </c:pt>
                <c:pt idx="38">
                  <c:v>104.91000366210901</c:v>
                </c:pt>
                <c:pt idx="39">
                  <c:v>105.120002746582</c:v>
                </c:pt>
                <c:pt idx="40">
                  <c:v>104.949996948242</c:v>
                </c:pt>
                <c:pt idx="41">
                  <c:v>108.900001525878</c:v>
                </c:pt>
                <c:pt idx="42">
                  <c:v>106.949996948242</c:v>
                </c:pt>
                <c:pt idx="43">
                  <c:v>106.120002746582</c:v>
                </c:pt>
                <c:pt idx="44">
                  <c:v>105.220001220703</c:v>
                </c:pt>
                <c:pt idx="45">
                  <c:v>108.19000244140599</c:v>
                </c:pt>
                <c:pt idx="46">
                  <c:v>109.459999084472</c:v>
                </c:pt>
                <c:pt idx="47">
                  <c:v>106.419998168945</c:v>
                </c:pt>
                <c:pt idx="48">
                  <c:v>105.120002746582</c:v>
                </c:pt>
                <c:pt idx="49">
                  <c:v>105.01999664306599</c:v>
                </c:pt>
                <c:pt idx="50">
                  <c:v>105.900001525878</c:v>
                </c:pt>
                <c:pt idx="51">
                  <c:v>105.91000366210901</c:v>
                </c:pt>
                <c:pt idx="52">
                  <c:v>106.77999877929599</c:v>
                </c:pt>
                <c:pt idx="53">
                  <c:v>104.61000061035099</c:v>
                </c:pt>
                <c:pt idx="54">
                  <c:v>104.449996948242</c:v>
                </c:pt>
                <c:pt idx="55">
                  <c:v>108.370002746582</c:v>
                </c:pt>
                <c:pt idx="56">
                  <c:v>108.220001220703</c:v>
                </c:pt>
                <c:pt idx="57">
                  <c:v>107.709999084472</c:v>
                </c:pt>
                <c:pt idx="58">
                  <c:v>105.980003356933</c:v>
                </c:pt>
                <c:pt idx="59">
                  <c:v>106.120002746582</c:v>
                </c:pt>
                <c:pt idx="60">
                  <c:v>105.209999084472</c:v>
                </c:pt>
                <c:pt idx="61">
                  <c:v>106.21499633789</c:v>
                </c:pt>
              </c:numCache>
            </c:numRef>
          </c:xVal>
          <c:yVal>
            <c:numRef>
              <c:f>'[1]All Data figure'!$J$208:$J$269</c:f>
              <c:numCache>
                <c:formatCode>General</c:formatCode>
                <c:ptCount val="62"/>
                <c:pt idx="0">
                  <c:v>33738800</c:v>
                </c:pt>
                <c:pt idx="1">
                  <c:v>73546000</c:v>
                </c:pt>
                <c:pt idx="2">
                  <c:v>97798600</c:v>
                </c:pt>
                <c:pt idx="3">
                  <c:v>49325300</c:v>
                </c:pt>
                <c:pt idx="4">
                  <c:v>43116600</c:v>
                </c:pt>
                <c:pt idx="5">
                  <c:v>42513100</c:v>
                </c:pt>
                <c:pt idx="6">
                  <c:v>36964500</c:v>
                </c:pt>
                <c:pt idx="7">
                  <c:v>35642100</c:v>
                </c:pt>
                <c:pt idx="8">
                  <c:v>31095100</c:v>
                </c:pt>
                <c:pt idx="9">
                  <c:v>28367200</c:v>
                </c:pt>
                <c:pt idx="10">
                  <c:v>29891100</c:v>
                </c:pt>
                <c:pt idx="11">
                  <c:v>32423700</c:v>
                </c:pt>
                <c:pt idx="12">
                  <c:v>31295600</c:v>
                </c:pt>
                <c:pt idx="13">
                  <c:v>22724300</c:v>
                </c:pt>
                <c:pt idx="14">
                  <c:v>30546900</c:v>
                </c:pt>
                <c:pt idx="15">
                  <c:v>26323900</c:v>
                </c:pt>
                <c:pt idx="16">
                  <c:v>23328600</c:v>
                </c:pt>
                <c:pt idx="17">
                  <c:v>30242500</c:v>
                </c:pt>
                <c:pt idx="18">
                  <c:v>28288200</c:v>
                </c:pt>
                <c:pt idx="19">
                  <c:v>24101500</c:v>
                </c:pt>
                <c:pt idx="20">
                  <c:v>25395200</c:v>
                </c:pt>
                <c:pt idx="21">
                  <c:v>24438900</c:v>
                </c:pt>
                <c:pt idx="22">
                  <c:v>32850100</c:v>
                </c:pt>
                <c:pt idx="23">
                  <c:v>31508600</c:v>
                </c:pt>
                <c:pt idx="24">
                  <c:v>32303900</c:v>
                </c:pt>
                <c:pt idx="25">
                  <c:v>38367300</c:v>
                </c:pt>
                <c:pt idx="26">
                  <c:v>54499500</c:v>
                </c:pt>
                <c:pt idx="27">
                  <c:v>76140300</c:v>
                </c:pt>
                <c:pt idx="28">
                  <c:v>26033900</c:v>
                </c:pt>
                <c:pt idx="29">
                  <c:v>33122800</c:v>
                </c:pt>
                <c:pt idx="30">
                  <c:v>32336900</c:v>
                </c:pt>
                <c:pt idx="31">
                  <c:v>31385800</c:v>
                </c:pt>
                <c:pt idx="32">
                  <c:v>25245000</c:v>
                </c:pt>
                <c:pt idx="33">
                  <c:v>25393400</c:v>
                </c:pt>
                <c:pt idx="34">
                  <c:v>24913500</c:v>
                </c:pt>
                <c:pt idx="35">
                  <c:v>26148300</c:v>
                </c:pt>
                <c:pt idx="36">
                  <c:v>25009800</c:v>
                </c:pt>
                <c:pt idx="37">
                  <c:v>28086500</c:v>
                </c:pt>
                <c:pt idx="38">
                  <c:v>20719900</c:v>
                </c:pt>
                <c:pt idx="39">
                  <c:v>20377200</c:v>
                </c:pt>
                <c:pt idx="40">
                  <c:v>21864200</c:v>
                </c:pt>
                <c:pt idx="41">
                  <c:v>34684200</c:v>
                </c:pt>
                <c:pt idx="42">
                  <c:v>19741500</c:v>
                </c:pt>
                <c:pt idx="43">
                  <c:v>18721300</c:v>
                </c:pt>
                <c:pt idx="44">
                  <c:v>22761600</c:v>
                </c:pt>
                <c:pt idx="45">
                  <c:v>21650700</c:v>
                </c:pt>
                <c:pt idx="46">
                  <c:v>20745400</c:v>
                </c:pt>
                <c:pt idx="47">
                  <c:v>29043400</c:v>
                </c:pt>
                <c:pt idx="48">
                  <c:v>17641400</c:v>
                </c:pt>
                <c:pt idx="49">
                  <c:v>16732000</c:v>
                </c:pt>
                <c:pt idx="50">
                  <c:v>22515300</c:v>
                </c:pt>
                <c:pt idx="51">
                  <c:v>22369800</c:v>
                </c:pt>
                <c:pt idx="52">
                  <c:v>21410900</c:v>
                </c:pt>
                <c:pt idx="53">
                  <c:v>31408100</c:v>
                </c:pt>
                <c:pt idx="54">
                  <c:v>37068200</c:v>
                </c:pt>
                <c:pt idx="55">
                  <c:v>38235200</c:v>
                </c:pt>
                <c:pt idx="56">
                  <c:v>23957900</c:v>
                </c:pt>
                <c:pt idx="57">
                  <c:v>20926300</c:v>
                </c:pt>
                <c:pt idx="58">
                  <c:v>20343100</c:v>
                </c:pt>
                <c:pt idx="59">
                  <c:v>17116300</c:v>
                </c:pt>
                <c:pt idx="60">
                  <c:v>19780600</c:v>
                </c:pt>
                <c:pt idx="61">
                  <c:v>20705300</c:v>
                </c:pt>
              </c:numCache>
            </c:numRef>
          </c:yVal>
        </c:ser>
        <c:axId val="145897344"/>
        <c:axId val="160579968"/>
      </c:scatterChart>
      <c:valAx>
        <c:axId val="145897344"/>
        <c:scaling>
          <c:orientation val="minMax"/>
        </c:scaling>
        <c:axPos val="b"/>
        <c:numFmt formatCode="General" sourceLinked="1"/>
        <c:majorTickMark val="none"/>
        <c:tickLblPos val="nextTo"/>
        <c:crossAx val="160579968"/>
        <c:crosses val="autoZero"/>
        <c:crossBetween val="midCat"/>
      </c:valAx>
      <c:valAx>
        <c:axId val="160579968"/>
        <c:scaling>
          <c:orientation val="minMax"/>
        </c:scaling>
        <c:axPos val="l"/>
        <c:numFmt formatCode="General" sourceLinked="1"/>
        <c:majorTickMark val="none"/>
        <c:tickLblPos val="nextTo"/>
        <c:crossAx val="145897344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'[1]All Data figure'!$E$206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C7A7B0"/>
            </a:solidFill>
            <a:ln w="28575">
              <a:noFill/>
            </a:ln>
          </c:spPr>
          <c:val>
            <c:numRef>
              <c:f>'[1]All Data figure'!$E$207:$E$269</c:f>
              <c:numCache>
                <c:formatCode>General</c:formatCode>
                <c:ptCount val="63"/>
                <c:pt idx="1">
                  <c:v>103.629997253417</c:v>
                </c:pt>
                <c:pt idx="2">
                  <c:v>102.69000244140599</c:v>
                </c:pt>
                <c:pt idx="3">
                  <c:v>100.540000915527</c:v>
                </c:pt>
                <c:pt idx="4">
                  <c:v>95.739997863769503</c:v>
                </c:pt>
                <c:pt idx="5">
                  <c:v>95.010002136230398</c:v>
                </c:pt>
                <c:pt idx="6">
                  <c:v>94.660003662109304</c:v>
                </c:pt>
                <c:pt idx="7">
                  <c:v>94.739997863769503</c:v>
                </c:pt>
                <c:pt idx="8">
                  <c:v>95.540000915527301</c:v>
                </c:pt>
                <c:pt idx="9">
                  <c:v>95.069999694824205</c:v>
                </c:pt>
                <c:pt idx="10">
                  <c:v>93.239997863769503</c:v>
                </c:pt>
                <c:pt idx="11">
                  <c:v>91.933998107910099</c:v>
                </c:pt>
                <c:pt idx="12">
                  <c:v>92.129997253417898</c:v>
                </c:pt>
                <c:pt idx="13">
                  <c:v>89.629997253417898</c:v>
                </c:pt>
                <c:pt idx="14">
                  <c:v>90.089996337890597</c:v>
                </c:pt>
                <c:pt idx="15">
                  <c:v>89.540000915527301</c:v>
                </c:pt>
                <c:pt idx="16">
                  <c:v>90.160003662109304</c:v>
                </c:pt>
                <c:pt idx="17">
                  <c:v>89.860000610351506</c:v>
                </c:pt>
                <c:pt idx="18">
                  <c:v>92.739997863769503</c:v>
                </c:pt>
                <c:pt idx="19">
                  <c:v>94.360000610351506</c:v>
                </c:pt>
                <c:pt idx="20">
                  <c:v>95.419998168945298</c:v>
                </c:pt>
                <c:pt idx="21">
                  <c:v>94.404998779296804</c:v>
                </c:pt>
                <c:pt idx="22">
                  <c:v>94.489997863769503</c:v>
                </c:pt>
                <c:pt idx="23">
                  <c:v>92.5</c:v>
                </c:pt>
                <c:pt idx="24">
                  <c:v>90.565002441406193</c:v>
                </c:pt>
                <c:pt idx="25">
                  <c:v>93.069999694824205</c:v>
                </c:pt>
                <c:pt idx="26">
                  <c:v>93.540000915527301</c:v>
                </c:pt>
                <c:pt idx="27">
                  <c:v>96.569999694824205</c:v>
                </c:pt>
                <c:pt idx="28">
                  <c:v>100.83999633789</c:v>
                </c:pt>
                <c:pt idx="29">
                  <c:v>101.059997558593</c:v>
                </c:pt>
                <c:pt idx="30">
                  <c:v>101.980003356933</c:v>
                </c:pt>
                <c:pt idx="31">
                  <c:v>105.139999389648</c:v>
                </c:pt>
                <c:pt idx="32">
                  <c:v>105.889999389648</c:v>
                </c:pt>
                <c:pt idx="33">
                  <c:v>105.73999786376901</c:v>
                </c:pt>
                <c:pt idx="34">
                  <c:v>105.31999969482401</c:v>
                </c:pt>
                <c:pt idx="35">
                  <c:v>103</c:v>
                </c:pt>
                <c:pt idx="36">
                  <c:v>102.720001220703</c:v>
                </c:pt>
                <c:pt idx="37">
                  <c:v>101.44000244140599</c:v>
                </c:pt>
                <c:pt idx="38">
                  <c:v>101.709999084472</c:v>
                </c:pt>
                <c:pt idx="39">
                  <c:v>102.669998168945</c:v>
                </c:pt>
                <c:pt idx="40">
                  <c:v>104.83999633789</c:v>
                </c:pt>
                <c:pt idx="41">
                  <c:v>106.120002746582</c:v>
                </c:pt>
                <c:pt idx="42">
                  <c:v>105.76999664306599</c:v>
                </c:pt>
                <c:pt idx="43">
                  <c:v>107.389999389648</c:v>
                </c:pt>
                <c:pt idx="44">
                  <c:v>106.919998168945</c:v>
                </c:pt>
                <c:pt idx="45">
                  <c:v>107.389999389648</c:v>
                </c:pt>
                <c:pt idx="46">
                  <c:v>106.470001220703</c:v>
                </c:pt>
                <c:pt idx="47">
                  <c:v>107.69000244140599</c:v>
                </c:pt>
                <c:pt idx="48">
                  <c:v>105.430000305175</c:v>
                </c:pt>
                <c:pt idx="49">
                  <c:v>107</c:v>
                </c:pt>
                <c:pt idx="50">
                  <c:v>104.21499633789</c:v>
                </c:pt>
                <c:pt idx="51">
                  <c:v>104.650001525878</c:v>
                </c:pt>
                <c:pt idx="52">
                  <c:v>106.08999633789</c:v>
                </c:pt>
                <c:pt idx="53">
                  <c:v>106.050003051757</c:v>
                </c:pt>
                <c:pt idx="54">
                  <c:v>106.61000061035099</c:v>
                </c:pt>
                <c:pt idx="55">
                  <c:v>105.559997558593</c:v>
                </c:pt>
                <c:pt idx="56">
                  <c:v>105.230003356933</c:v>
                </c:pt>
                <c:pt idx="57">
                  <c:v>107.800003051757</c:v>
                </c:pt>
                <c:pt idx="58">
                  <c:v>107.720001220703</c:v>
                </c:pt>
                <c:pt idx="59">
                  <c:v>107.66000366210901</c:v>
                </c:pt>
                <c:pt idx="60">
                  <c:v>106.220001220703</c:v>
                </c:pt>
                <c:pt idx="61">
                  <c:v>106.16000366210901</c:v>
                </c:pt>
                <c:pt idx="62">
                  <c:v>105.31999969482401</c:v>
                </c:pt>
              </c:numCache>
            </c:numRef>
          </c:val>
        </c:ser>
        <c:axId val="178276224"/>
        <c:axId val="178277760"/>
      </c:barChart>
      <c:stockChart>
        <c:ser>
          <c:idx val="1"/>
          <c:order val="1"/>
          <c:tx>
            <c:strRef>
              <c:f>'[1]All Data figure'!$F$206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figure'!$F$207:$F$269</c:f>
              <c:numCache>
                <c:formatCode>General</c:formatCode>
                <c:ptCount val="63"/>
                <c:pt idx="1">
                  <c:v>108.669998168945</c:v>
                </c:pt>
                <c:pt idx="2">
                  <c:v>103.58000183105401</c:v>
                </c:pt>
                <c:pt idx="3">
                  <c:v>100.61000061035099</c:v>
                </c:pt>
                <c:pt idx="4">
                  <c:v>97.019996643066406</c:v>
                </c:pt>
                <c:pt idx="5">
                  <c:v>95.349998474121094</c:v>
                </c:pt>
                <c:pt idx="6">
                  <c:v>95.175003051757798</c:v>
                </c:pt>
                <c:pt idx="7">
                  <c:v>97.339996337890597</c:v>
                </c:pt>
                <c:pt idx="8">
                  <c:v>97.879997253417898</c:v>
                </c:pt>
                <c:pt idx="9">
                  <c:v>95.75</c:v>
                </c:pt>
                <c:pt idx="10">
                  <c:v>93.415000915527301</c:v>
                </c:pt>
                <c:pt idx="11">
                  <c:v>92.360000610351506</c:v>
                </c:pt>
                <c:pt idx="12">
                  <c:v>92.129997253417898</c:v>
                </c:pt>
                <c:pt idx="13">
                  <c:v>90.129997253417898</c:v>
                </c:pt>
                <c:pt idx="14">
                  <c:v>90.449996948242102</c:v>
                </c:pt>
                <c:pt idx="15">
                  <c:v>91.449996948242102</c:v>
                </c:pt>
                <c:pt idx="16">
                  <c:v>91.199996948242102</c:v>
                </c:pt>
                <c:pt idx="17">
                  <c:v>92.480003356933594</c:v>
                </c:pt>
                <c:pt idx="18">
                  <c:v>94.110000610351506</c:v>
                </c:pt>
                <c:pt idx="19">
                  <c:v>96.300003051757798</c:v>
                </c:pt>
                <c:pt idx="20">
                  <c:v>96.089996337890597</c:v>
                </c:pt>
                <c:pt idx="21">
                  <c:v>96.239997863769503</c:v>
                </c:pt>
                <c:pt idx="22">
                  <c:v>95.919998168945298</c:v>
                </c:pt>
                <c:pt idx="23">
                  <c:v>93.180000305175696</c:v>
                </c:pt>
                <c:pt idx="24">
                  <c:v>93.080001831054602</c:v>
                </c:pt>
                <c:pt idx="25">
                  <c:v>94.830001831054602</c:v>
                </c:pt>
                <c:pt idx="26">
                  <c:v>97.25</c:v>
                </c:pt>
                <c:pt idx="27">
                  <c:v>101.970001220703</c:v>
                </c:pt>
                <c:pt idx="28">
                  <c:v>103.48999786376901</c:v>
                </c:pt>
                <c:pt idx="29">
                  <c:v>102.58000183105401</c:v>
                </c:pt>
                <c:pt idx="30">
                  <c:v>105.959999084472</c:v>
                </c:pt>
                <c:pt idx="31">
                  <c:v>107.51000213623</c:v>
                </c:pt>
                <c:pt idx="32">
                  <c:v>107.10099792480401</c:v>
                </c:pt>
                <c:pt idx="33">
                  <c:v>106.16000366210901</c:v>
                </c:pt>
                <c:pt idx="34">
                  <c:v>105.400001525878</c:v>
                </c:pt>
                <c:pt idx="35">
                  <c:v>103</c:v>
                </c:pt>
                <c:pt idx="36">
                  <c:v>102.81999969482401</c:v>
                </c:pt>
                <c:pt idx="37">
                  <c:v>101.61000061035099</c:v>
                </c:pt>
                <c:pt idx="38">
                  <c:v>104.19000244140599</c:v>
                </c:pt>
                <c:pt idx="39">
                  <c:v>104.949996948242</c:v>
                </c:pt>
                <c:pt idx="40">
                  <c:v>106.09999847412099</c:v>
                </c:pt>
                <c:pt idx="41">
                  <c:v>106.540000915527</c:v>
                </c:pt>
                <c:pt idx="42">
                  <c:v>109.629997253417</c:v>
                </c:pt>
                <c:pt idx="43">
                  <c:v>107.970001220703</c:v>
                </c:pt>
                <c:pt idx="44">
                  <c:v>107.220001220703</c:v>
                </c:pt>
                <c:pt idx="45">
                  <c:v>107.58699798583901</c:v>
                </c:pt>
                <c:pt idx="46">
                  <c:v>108.264999389648</c:v>
                </c:pt>
                <c:pt idx="47">
                  <c:v>109.58000183105401</c:v>
                </c:pt>
                <c:pt idx="48">
                  <c:v>106.709999084472</c:v>
                </c:pt>
                <c:pt idx="49">
                  <c:v>107.050003051757</c:v>
                </c:pt>
                <c:pt idx="50">
                  <c:v>105.72499847412099</c:v>
                </c:pt>
                <c:pt idx="51">
                  <c:v>106.88800048828099</c:v>
                </c:pt>
                <c:pt idx="52">
                  <c:v>106.639999389648</c:v>
                </c:pt>
                <c:pt idx="53">
                  <c:v>107.31999969482401</c:v>
                </c:pt>
                <c:pt idx="54">
                  <c:v>107.44000244140599</c:v>
                </c:pt>
                <c:pt idx="55">
                  <c:v>107.01999664306599</c:v>
                </c:pt>
                <c:pt idx="56">
                  <c:v>109.150001525878</c:v>
                </c:pt>
                <c:pt idx="57">
                  <c:v>108.290000915527</c:v>
                </c:pt>
                <c:pt idx="58">
                  <c:v>108.680000305175</c:v>
                </c:pt>
                <c:pt idx="59">
                  <c:v>107.730003356933</c:v>
                </c:pt>
                <c:pt idx="60">
                  <c:v>108.129997253417</c:v>
                </c:pt>
                <c:pt idx="61">
                  <c:v>106.300003051757</c:v>
                </c:pt>
                <c:pt idx="62">
                  <c:v>106.44000244140599</c:v>
                </c:pt>
              </c:numCache>
            </c:numRef>
          </c:val>
        </c:ser>
        <c:ser>
          <c:idx val="2"/>
          <c:order val="2"/>
          <c:tx>
            <c:strRef>
              <c:f>'[1]All Data figure'!$G$206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figure'!$G$207:$G$269</c:f>
              <c:numCache>
                <c:formatCode>General</c:formatCode>
                <c:ptCount val="63"/>
                <c:pt idx="1">
                  <c:v>103.54799652099599</c:v>
                </c:pt>
                <c:pt idx="2">
                  <c:v>98.455001831054602</c:v>
                </c:pt>
                <c:pt idx="3">
                  <c:v>93.860000610351506</c:v>
                </c:pt>
                <c:pt idx="4">
                  <c:v>94.529998779296804</c:v>
                </c:pt>
                <c:pt idx="5">
                  <c:v>94.050003051757798</c:v>
                </c:pt>
                <c:pt idx="6">
                  <c:v>92.650001525878906</c:v>
                </c:pt>
                <c:pt idx="7">
                  <c:v>94.360000610351506</c:v>
                </c:pt>
                <c:pt idx="8">
                  <c:v>94.970001220703097</c:v>
                </c:pt>
                <c:pt idx="9">
                  <c:v>93.449996948242102</c:v>
                </c:pt>
                <c:pt idx="10">
                  <c:v>92</c:v>
                </c:pt>
                <c:pt idx="11">
                  <c:v>90.870002746582003</c:v>
                </c:pt>
                <c:pt idx="12">
                  <c:v>90.010002136230398</c:v>
                </c:pt>
                <c:pt idx="13">
                  <c:v>88.860000610351506</c:v>
                </c:pt>
                <c:pt idx="14">
                  <c:v>89.610000610351506</c:v>
                </c:pt>
                <c:pt idx="15">
                  <c:v>89.519996643066406</c:v>
                </c:pt>
                <c:pt idx="16">
                  <c:v>89.849998474121094</c:v>
                </c:pt>
                <c:pt idx="17">
                  <c:v>89.769996643066406</c:v>
                </c:pt>
                <c:pt idx="18">
                  <c:v>92.660003662109304</c:v>
                </c:pt>
                <c:pt idx="19">
                  <c:v>94.300003051757798</c:v>
                </c:pt>
                <c:pt idx="20">
                  <c:v>93.844001770019503</c:v>
                </c:pt>
                <c:pt idx="21">
                  <c:v>94.404998779296804</c:v>
                </c:pt>
                <c:pt idx="22">
                  <c:v>92.355003356933594</c:v>
                </c:pt>
                <c:pt idx="23">
                  <c:v>90.800003051757798</c:v>
                </c:pt>
                <c:pt idx="24">
                  <c:v>89.940002441406193</c:v>
                </c:pt>
                <c:pt idx="25">
                  <c:v>92.779998779296804</c:v>
                </c:pt>
                <c:pt idx="26">
                  <c:v>93.040000915527301</c:v>
                </c:pt>
                <c:pt idx="27">
                  <c:v>95.870002746582003</c:v>
                </c:pt>
                <c:pt idx="28">
                  <c:v>100.75</c:v>
                </c:pt>
                <c:pt idx="29">
                  <c:v>100.790000915527</c:v>
                </c:pt>
                <c:pt idx="30">
                  <c:v>101.86000061035099</c:v>
                </c:pt>
                <c:pt idx="31">
                  <c:v>104.209999084472</c:v>
                </c:pt>
                <c:pt idx="32">
                  <c:v>105.41000366210901</c:v>
                </c:pt>
                <c:pt idx="33">
                  <c:v>104.73999786376901</c:v>
                </c:pt>
                <c:pt idx="34">
                  <c:v>102.629997253417</c:v>
                </c:pt>
                <c:pt idx="35">
                  <c:v>100.27999877929599</c:v>
                </c:pt>
                <c:pt idx="36">
                  <c:v>101.02999877929599</c:v>
                </c:pt>
                <c:pt idx="37">
                  <c:v>100.290000915527</c:v>
                </c:pt>
                <c:pt idx="38">
                  <c:v>101.44000244140599</c:v>
                </c:pt>
                <c:pt idx="39">
                  <c:v>102.379997253417</c:v>
                </c:pt>
                <c:pt idx="40">
                  <c:v>104.59999847412099</c:v>
                </c:pt>
                <c:pt idx="41">
                  <c:v>104.101997375488</c:v>
                </c:pt>
                <c:pt idx="42">
                  <c:v>104.81500244140599</c:v>
                </c:pt>
                <c:pt idx="43">
                  <c:v>105.59999847412099</c:v>
                </c:pt>
                <c:pt idx="44">
                  <c:v>105.27999877929599</c:v>
                </c:pt>
                <c:pt idx="45">
                  <c:v>104.970001220703</c:v>
                </c:pt>
                <c:pt idx="46">
                  <c:v>106.44000244140599</c:v>
                </c:pt>
                <c:pt idx="47">
                  <c:v>107.58999633789</c:v>
                </c:pt>
                <c:pt idx="48">
                  <c:v>105.31999969482401</c:v>
                </c:pt>
                <c:pt idx="49">
                  <c:v>104.77999877929599</c:v>
                </c:pt>
                <c:pt idx="50">
                  <c:v>103.800003051757</c:v>
                </c:pt>
                <c:pt idx="51">
                  <c:v>104.639999389648</c:v>
                </c:pt>
                <c:pt idx="52">
                  <c:v>105.48500061035099</c:v>
                </c:pt>
                <c:pt idx="53">
                  <c:v>105.36000061035099</c:v>
                </c:pt>
                <c:pt idx="54">
                  <c:v>104.559997558593</c:v>
                </c:pt>
                <c:pt idx="55">
                  <c:v>103.26999664306599</c:v>
                </c:pt>
                <c:pt idx="56">
                  <c:v>104.419998168945</c:v>
                </c:pt>
                <c:pt idx="57">
                  <c:v>106.040000915527</c:v>
                </c:pt>
                <c:pt idx="58">
                  <c:v>107.5</c:v>
                </c:pt>
                <c:pt idx="59">
                  <c:v>104.5</c:v>
                </c:pt>
                <c:pt idx="60">
                  <c:v>105.620002746582</c:v>
                </c:pt>
                <c:pt idx="61">
                  <c:v>104.699996948242</c:v>
                </c:pt>
                <c:pt idx="62">
                  <c:v>104.738998413085</c:v>
                </c:pt>
              </c:numCache>
            </c:numRef>
          </c:val>
        </c:ser>
        <c:ser>
          <c:idx val="3"/>
          <c:order val="3"/>
          <c:tx>
            <c:strRef>
              <c:f>'[1]All Data figure'!$H$206</c:f>
              <c:strCache>
                <c:ptCount val="1"/>
                <c:pt idx="0">
                  <c:v>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figure'!$H$207:$H$269</c:f>
              <c:numCache>
                <c:formatCode>General</c:formatCode>
                <c:ptCount val="63"/>
                <c:pt idx="1">
                  <c:v>108.040000915527</c:v>
                </c:pt>
                <c:pt idx="2">
                  <c:v>100</c:v>
                </c:pt>
                <c:pt idx="3">
                  <c:v>95.459999084472599</c:v>
                </c:pt>
                <c:pt idx="4">
                  <c:v>94.860000610351506</c:v>
                </c:pt>
                <c:pt idx="5">
                  <c:v>95</c:v>
                </c:pt>
                <c:pt idx="6">
                  <c:v>94.949996948242102</c:v>
                </c:pt>
                <c:pt idx="7">
                  <c:v>97.099998474121094</c:v>
                </c:pt>
                <c:pt idx="8">
                  <c:v>95.779998779296804</c:v>
                </c:pt>
                <c:pt idx="9">
                  <c:v>94.589996337890597</c:v>
                </c:pt>
                <c:pt idx="10">
                  <c:v>92.050003051757798</c:v>
                </c:pt>
                <c:pt idx="11">
                  <c:v>91.800003051757798</c:v>
                </c:pt>
                <c:pt idx="12">
                  <c:v>91.069999694824205</c:v>
                </c:pt>
                <c:pt idx="13">
                  <c:v>89.349998474121094</c:v>
                </c:pt>
                <c:pt idx="14">
                  <c:v>90.099998474121094</c:v>
                </c:pt>
                <c:pt idx="15">
                  <c:v>90.300003051757798</c:v>
                </c:pt>
                <c:pt idx="16">
                  <c:v>90.510002136230398</c:v>
                </c:pt>
                <c:pt idx="17">
                  <c:v>92.309997558593693</c:v>
                </c:pt>
                <c:pt idx="18">
                  <c:v>94.019996643066406</c:v>
                </c:pt>
                <c:pt idx="19">
                  <c:v>95.580001831054602</c:v>
                </c:pt>
                <c:pt idx="20">
                  <c:v>94.169998168945298</c:v>
                </c:pt>
                <c:pt idx="21">
                  <c:v>94.650001525878906</c:v>
                </c:pt>
                <c:pt idx="22">
                  <c:v>92.660003662109304</c:v>
                </c:pt>
                <c:pt idx="23">
                  <c:v>91.010002136230398</c:v>
                </c:pt>
                <c:pt idx="24">
                  <c:v>91.660003662109304</c:v>
                </c:pt>
                <c:pt idx="25">
                  <c:v>94.25</c:v>
                </c:pt>
                <c:pt idx="26">
                  <c:v>96.550003051757798</c:v>
                </c:pt>
                <c:pt idx="27">
                  <c:v>101.06999969482401</c:v>
                </c:pt>
                <c:pt idx="28">
                  <c:v>102.459999084472</c:v>
                </c:pt>
                <c:pt idx="29">
                  <c:v>101.930000305175</c:v>
                </c:pt>
                <c:pt idx="30">
                  <c:v>105.83999633789</c:v>
                </c:pt>
                <c:pt idx="31">
                  <c:v>104.220001220703</c:v>
                </c:pt>
                <c:pt idx="32">
                  <c:v>106.26000213623</c:v>
                </c:pt>
                <c:pt idx="33">
                  <c:v>106.059997558593</c:v>
                </c:pt>
                <c:pt idx="34">
                  <c:v>103.059997558593</c:v>
                </c:pt>
                <c:pt idx="35">
                  <c:v>101.36000061035099</c:v>
                </c:pt>
                <c:pt idx="36">
                  <c:v>101.900001525878</c:v>
                </c:pt>
                <c:pt idx="37">
                  <c:v>101.31999969482401</c:v>
                </c:pt>
                <c:pt idx="38">
                  <c:v>104</c:v>
                </c:pt>
                <c:pt idx="39">
                  <c:v>104.91000366210901</c:v>
                </c:pt>
                <c:pt idx="40">
                  <c:v>105.120002746582</c:v>
                </c:pt>
                <c:pt idx="41">
                  <c:v>104.949996948242</c:v>
                </c:pt>
                <c:pt idx="42">
                  <c:v>108.900001525878</c:v>
                </c:pt>
                <c:pt idx="43">
                  <c:v>106.949996948242</c:v>
                </c:pt>
                <c:pt idx="44">
                  <c:v>106.120002746582</c:v>
                </c:pt>
                <c:pt idx="45">
                  <c:v>105.220001220703</c:v>
                </c:pt>
                <c:pt idx="46">
                  <c:v>108.19000244140599</c:v>
                </c:pt>
                <c:pt idx="47">
                  <c:v>109.459999084472</c:v>
                </c:pt>
                <c:pt idx="48">
                  <c:v>106.419998168945</c:v>
                </c:pt>
                <c:pt idx="49">
                  <c:v>105.120002746582</c:v>
                </c:pt>
                <c:pt idx="50">
                  <c:v>105.01999664306599</c:v>
                </c:pt>
                <c:pt idx="51">
                  <c:v>105.900001525878</c:v>
                </c:pt>
                <c:pt idx="52">
                  <c:v>105.91000366210901</c:v>
                </c:pt>
                <c:pt idx="53">
                  <c:v>106.77999877929599</c:v>
                </c:pt>
                <c:pt idx="54">
                  <c:v>104.61000061035099</c:v>
                </c:pt>
                <c:pt idx="55">
                  <c:v>104.449996948242</c:v>
                </c:pt>
                <c:pt idx="56">
                  <c:v>108.370002746582</c:v>
                </c:pt>
                <c:pt idx="57">
                  <c:v>108.220001220703</c:v>
                </c:pt>
                <c:pt idx="58">
                  <c:v>107.709999084472</c:v>
                </c:pt>
                <c:pt idx="59">
                  <c:v>105.980003356933</c:v>
                </c:pt>
                <c:pt idx="60">
                  <c:v>106.120002746582</c:v>
                </c:pt>
                <c:pt idx="61">
                  <c:v>105.209999084472</c:v>
                </c:pt>
                <c:pt idx="62">
                  <c:v>106.21499633789</c:v>
                </c:pt>
              </c:numCache>
            </c:numRef>
          </c:val>
        </c:ser>
        <c:ser>
          <c:idx val="4"/>
          <c:order val="4"/>
          <c:tx>
            <c:strRef>
              <c:f>'[1]All Data figure'!$I$206</c:f>
              <c:strCache>
                <c:ptCount val="1"/>
                <c:pt idx="0">
                  <c:v>Adj Close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val>
            <c:numRef>
              <c:f>'[1]All Data figure'!$I$207:$I$269</c:f>
              <c:numCache>
                <c:formatCode>General</c:formatCode>
                <c:ptCount val="63"/>
                <c:pt idx="1">
                  <c:v>108.040000915527</c:v>
                </c:pt>
                <c:pt idx="2">
                  <c:v>100</c:v>
                </c:pt>
                <c:pt idx="3">
                  <c:v>95.459999084472599</c:v>
                </c:pt>
                <c:pt idx="4">
                  <c:v>94.860000610351506</c:v>
                </c:pt>
                <c:pt idx="5">
                  <c:v>95</c:v>
                </c:pt>
                <c:pt idx="6">
                  <c:v>94.949996948242102</c:v>
                </c:pt>
                <c:pt idx="7">
                  <c:v>97.099998474121094</c:v>
                </c:pt>
                <c:pt idx="8">
                  <c:v>95.779998779296804</c:v>
                </c:pt>
                <c:pt idx="9">
                  <c:v>94.589996337890597</c:v>
                </c:pt>
                <c:pt idx="10">
                  <c:v>92.050003051757798</c:v>
                </c:pt>
                <c:pt idx="11">
                  <c:v>91.800003051757798</c:v>
                </c:pt>
                <c:pt idx="12">
                  <c:v>91.069999694824205</c:v>
                </c:pt>
                <c:pt idx="13">
                  <c:v>89.349998474121094</c:v>
                </c:pt>
                <c:pt idx="14">
                  <c:v>90.099998474121094</c:v>
                </c:pt>
                <c:pt idx="15">
                  <c:v>90.300003051757798</c:v>
                </c:pt>
                <c:pt idx="16">
                  <c:v>90.510002136230398</c:v>
                </c:pt>
                <c:pt idx="17">
                  <c:v>92.309997558593693</c:v>
                </c:pt>
                <c:pt idx="18">
                  <c:v>94.019996643066406</c:v>
                </c:pt>
                <c:pt idx="19">
                  <c:v>95.580001831054602</c:v>
                </c:pt>
                <c:pt idx="20">
                  <c:v>94.169998168945298</c:v>
                </c:pt>
                <c:pt idx="21">
                  <c:v>94.650001525878906</c:v>
                </c:pt>
                <c:pt idx="22">
                  <c:v>92.660003662109304</c:v>
                </c:pt>
                <c:pt idx="23">
                  <c:v>91.010002136230398</c:v>
                </c:pt>
                <c:pt idx="24">
                  <c:v>91.660003662109304</c:v>
                </c:pt>
                <c:pt idx="25">
                  <c:v>94.25</c:v>
                </c:pt>
                <c:pt idx="26">
                  <c:v>96.550003051757798</c:v>
                </c:pt>
                <c:pt idx="27">
                  <c:v>101.06999969482401</c:v>
                </c:pt>
                <c:pt idx="28">
                  <c:v>102.459999084472</c:v>
                </c:pt>
                <c:pt idx="29">
                  <c:v>101.930000305175</c:v>
                </c:pt>
                <c:pt idx="30">
                  <c:v>105.83999633789</c:v>
                </c:pt>
                <c:pt idx="31">
                  <c:v>104.220001220703</c:v>
                </c:pt>
                <c:pt idx="32">
                  <c:v>106.26000213623</c:v>
                </c:pt>
                <c:pt idx="33">
                  <c:v>106.059997558593</c:v>
                </c:pt>
                <c:pt idx="34">
                  <c:v>103.059997558593</c:v>
                </c:pt>
                <c:pt idx="35">
                  <c:v>101.36000061035099</c:v>
                </c:pt>
                <c:pt idx="36">
                  <c:v>101.900001525878</c:v>
                </c:pt>
                <c:pt idx="37">
                  <c:v>101.31999969482401</c:v>
                </c:pt>
                <c:pt idx="38">
                  <c:v>104</c:v>
                </c:pt>
                <c:pt idx="39">
                  <c:v>104.91000366210901</c:v>
                </c:pt>
                <c:pt idx="40">
                  <c:v>105.120002746582</c:v>
                </c:pt>
                <c:pt idx="41">
                  <c:v>104.949996948242</c:v>
                </c:pt>
                <c:pt idx="42">
                  <c:v>108.900001525878</c:v>
                </c:pt>
                <c:pt idx="43">
                  <c:v>106.949996948242</c:v>
                </c:pt>
                <c:pt idx="44">
                  <c:v>106.120002746582</c:v>
                </c:pt>
                <c:pt idx="45">
                  <c:v>105.220001220703</c:v>
                </c:pt>
                <c:pt idx="46">
                  <c:v>108.19000244140599</c:v>
                </c:pt>
                <c:pt idx="47">
                  <c:v>109.459999084472</c:v>
                </c:pt>
                <c:pt idx="48">
                  <c:v>106.419998168945</c:v>
                </c:pt>
                <c:pt idx="49">
                  <c:v>105.120002746582</c:v>
                </c:pt>
                <c:pt idx="50">
                  <c:v>105.01999664306599</c:v>
                </c:pt>
                <c:pt idx="51">
                  <c:v>105.900001525878</c:v>
                </c:pt>
                <c:pt idx="52">
                  <c:v>105.91000366210901</c:v>
                </c:pt>
                <c:pt idx="53">
                  <c:v>106.77999877929599</c:v>
                </c:pt>
                <c:pt idx="54">
                  <c:v>104.61000061035099</c:v>
                </c:pt>
                <c:pt idx="55">
                  <c:v>104.449996948242</c:v>
                </c:pt>
                <c:pt idx="56">
                  <c:v>108.370002746582</c:v>
                </c:pt>
                <c:pt idx="57">
                  <c:v>108.220001220703</c:v>
                </c:pt>
                <c:pt idx="58">
                  <c:v>107.709999084472</c:v>
                </c:pt>
                <c:pt idx="59">
                  <c:v>105.980003356933</c:v>
                </c:pt>
                <c:pt idx="60">
                  <c:v>106.120002746582</c:v>
                </c:pt>
                <c:pt idx="61">
                  <c:v>105.209999084472</c:v>
                </c:pt>
                <c:pt idx="62">
                  <c:v>106.21499633789</c:v>
                </c:pt>
              </c:numCache>
            </c:numRef>
          </c:val>
        </c:ser>
        <c:hiLowLines/>
        <c:upDownBars>
          <c:gapWidth val="150"/>
          <c:upBars/>
          <c:downBars/>
        </c:upDownBars>
        <c:axId val="178285184"/>
        <c:axId val="178283648"/>
      </c:stockChart>
      <c:catAx>
        <c:axId val="178276224"/>
        <c:scaling>
          <c:orientation val="minMax"/>
        </c:scaling>
        <c:axPos val="b"/>
        <c:majorTickMark val="none"/>
        <c:tickLblPos val="nextTo"/>
        <c:crossAx val="178277760"/>
        <c:crosses val="autoZero"/>
        <c:auto val="1"/>
        <c:lblAlgn val="ctr"/>
        <c:lblOffset val="100"/>
      </c:catAx>
      <c:valAx>
        <c:axId val="178277760"/>
        <c:scaling>
          <c:orientation val="minMax"/>
        </c:scaling>
        <c:axPos val="l"/>
        <c:numFmt formatCode="General" sourceLinked="1"/>
        <c:majorTickMark val="none"/>
        <c:tickLblPos val="nextTo"/>
        <c:crossAx val="178276224"/>
        <c:crosses val="autoZero"/>
        <c:crossBetween val="between"/>
      </c:valAx>
      <c:valAx>
        <c:axId val="178283648"/>
        <c:scaling>
          <c:orientation val="minMax"/>
        </c:scaling>
        <c:axPos val="r"/>
        <c:numFmt formatCode="General" sourceLinked="1"/>
        <c:tickLblPos val="nextTo"/>
        <c:crossAx val="178285184"/>
        <c:crosses val="max"/>
        <c:crossBetween val="between"/>
      </c:valAx>
      <c:catAx>
        <c:axId val="178285184"/>
        <c:scaling>
          <c:orientation val="minMax"/>
        </c:scaling>
        <c:delete val="1"/>
        <c:axPos val="b"/>
        <c:tickLblPos val="nextTo"/>
        <c:crossAx val="178283648"/>
        <c:crosses val="autoZero"/>
        <c:auto val="1"/>
        <c:lblAlgn val="ctr"/>
        <c:lblOffset val="100"/>
      </c:catAx>
    </c:plotArea>
    <c:plotVisOnly val="1"/>
    <c:dispBlanksAs val="gap"/>
  </c:chart>
  <c:spPr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6922790240343825"/>
          <c:y val="4.6495388076490438E-2"/>
          <c:w val="0.71063111068820328"/>
          <c:h val="0.66793610798650171"/>
        </c:manualLayout>
      </c:layout>
      <c:barChart>
        <c:barDir val="col"/>
        <c:grouping val="stacked"/>
        <c:ser>
          <c:idx val="0"/>
          <c:order val="0"/>
          <c:cat>
            <c:strRef>
              <c:f>'[1]All Data figure'!$AF$11:$AF$14</c:f>
              <c:strCache>
                <c:ptCount val="4"/>
                <c:pt idx="0">
                  <c:v>AAPL</c:v>
                </c:pt>
                <c:pt idx="1">
                  <c:v>NSFT</c:v>
                </c:pt>
                <c:pt idx="2">
                  <c:v>MSFT</c:v>
                </c:pt>
                <c:pt idx="3">
                  <c:v>GOOG</c:v>
                </c:pt>
              </c:strCache>
            </c:strRef>
          </c:cat>
          <c:val>
            <c:numRef>
              <c:f>'[1]All Data figure'!$AG$11:$AG$14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cat>
            <c:strRef>
              <c:f>'[1]All Data figure'!$AF$11:$AF$14</c:f>
              <c:strCache>
                <c:ptCount val="4"/>
                <c:pt idx="0">
                  <c:v>AAPL</c:v>
                </c:pt>
                <c:pt idx="1">
                  <c:v>NSFT</c:v>
                </c:pt>
                <c:pt idx="2">
                  <c:v>MSFT</c:v>
                </c:pt>
                <c:pt idx="3">
                  <c:v>GOOG</c:v>
                </c:pt>
              </c:strCache>
            </c:strRef>
          </c:cat>
          <c:val>
            <c:numRef>
              <c:f>'[1]All Data figure'!$AH$11:$AH$14</c:f>
              <c:numCache>
                <c:formatCode>General</c:formatCode>
                <c:ptCount val="4"/>
                <c:pt idx="0">
                  <c:v>60282958.064516127</c:v>
                </c:pt>
                <c:pt idx="1">
                  <c:v>6471732.2580645159</c:v>
                </c:pt>
                <c:pt idx="2">
                  <c:v>30848353.225806452</c:v>
                </c:pt>
                <c:pt idx="3">
                  <c:v>30725372.580645163</c:v>
                </c:pt>
              </c:numCache>
            </c:numRef>
          </c:val>
        </c:ser>
        <c:overlap val="100"/>
        <c:axId val="178346624"/>
        <c:axId val="134181248"/>
      </c:barChart>
      <c:catAx>
        <c:axId val="178346624"/>
        <c:scaling>
          <c:orientation val="minMax"/>
        </c:scaling>
        <c:axPos val="b"/>
        <c:numFmt formatCode="General" sourceLinked="1"/>
        <c:tickLblPos val="nextTo"/>
        <c:crossAx val="134181248"/>
        <c:crosses val="autoZero"/>
        <c:auto val="1"/>
        <c:lblAlgn val="ctr"/>
        <c:lblOffset val="100"/>
      </c:catAx>
      <c:valAx>
        <c:axId val="134181248"/>
        <c:scaling>
          <c:orientation val="minMax"/>
        </c:scaling>
        <c:axPos val="l"/>
        <c:numFmt formatCode="General" sourceLinked="1"/>
        <c:tickLblPos val="nextTo"/>
        <c:crossAx val="178346624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171450</xdr:rowOff>
    </xdr:from>
    <xdr:to>
      <xdr:col>17</xdr:col>
      <xdr:colOff>333375</xdr:colOff>
      <xdr:row>23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638175</xdr:colOff>
      <xdr:row>29</xdr:row>
      <xdr:rowOff>161925</xdr:rowOff>
    </xdr:from>
    <xdr:to>
      <xdr:col>17</xdr:col>
      <xdr:colOff>257175</xdr:colOff>
      <xdr:row>44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51</xdr:row>
      <xdr:rowOff>66675</xdr:rowOff>
    </xdr:from>
    <xdr:to>
      <xdr:col>17</xdr:col>
      <xdr:colOff>447675</xdr:colOff>
      <xdr:row>65</xdr:row>
      <xdr:rowOff>142875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19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19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495300</xdr:colOff>
      <xdr:row>45</xdr:row>
      <xdr:rowOff>47625</xdr:rowOff>
    </xdr:from>
    <xdr:to>
      <xdr:col>20</xdr:col>
      <xdr:colOff>190500</xdr:colOff>
      <xdr:row>59</xdr:row>
      <xdr:rowOff>123825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6</xdr:row>
      <xdr:rowOff>0</xdr:rowOff>
    </xdr:from>
    <xdr:to>
      <xdr:col>19</xdr:col>
      <xdr:colOff>304800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</xdr:colOff>
      <xdr:row>25</xdr:row>
      <xdr:rowOff>47625</xdr:rowOff>
    </xdr:from>
    <xdr:to>
      <xdr:col>19</xdr:col>
      <xdr:colOff>361950</xdr:colOff>
      <xdr:row>39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44</xdr:row>
      <xdr:rowOff>85725</xdr:rowOff>
    </xdr:from>
    <xdr:to>
      <xdr:col>20</xdr:col>
      <xdr:colOff>0</xdr:colOff>
      <xdr:row>58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7</xdr:row>
      <xdr:rowOff>38100</xdr:rowOff>
    </xdr:from>
    <xdr:to>
      <xdr:col>19</xdr:col>
      <xdr:colOff>428625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26</xdr:row>
      <xdr:rowOff>66675</xdr:rowOff>
    </xdr:from>
    <xdr:to>
      <xdr:col>19</xdr:col>
      <xdr:colOff>333375</xdr:colOff>
      <xdr:row>40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504825</xdr:colOff>
      <xdr:row>48</xdr:row>
      <xdr:rowOff>38100</xdr:rowOff>
    </xdr:from>
    <xdr:to>
      <xdr:col>20</xdr:col>
      <xdr:colOff>200025</xdr:colOff>
      <xdr:row>62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38100</xdr:rowOff>
    </xdr:from>
    <xdr:to>
      <xdr:col>10</xdr:col>
      <xdr:colOff>104775</xdr:colOff>
      <xdr:row>11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 Data figure"/>
    </sheetNames>
    <sheetDataSet>
      <sheetData sheetId="0">
        <row r="8">
          <cell r="E8" t="str">
            <v>Open</v>
          </cell>
          <cell r="F8" t="str">
            <v>High</v>
          </cell>
          <cell r="G8" t="str">
            <v>Low</v>
          </cell>
          <cell r="H8" t="str">
            <v>Close</v>
          </cell>
          <cell r="I8" t="str">
            <v>Adj Close</v>
          </cell>
        </row>
        <row r="10">
          <cell r="E10">
            <v>150.63999938964801</v>
          </cell>
          <cell r="F10">
            <v>155.22999572753901</v>
          </cell>
          <cell r="G10">
            <v>150.63999938964801</v>
          </cell>
          <cell r="H10">
            <v>154.64999389648401</v>
          </cell>
          <cell r="I10">
            <v>154.41423034667901</v>
          </cell>
          <cell r="J10">
            <v>83322600</v>
          </cell>
        </row>
        <row r="11">
          <cell r="D11">
            <v>44965</v>
          </cell>
          <cell r="E11">
            <v>153.88000488281199</v>
          </cell>
          <cell r="F11">
            <v>154.58000183105401</v>
          </cell>
          <cell r="G11">
            <v>151.169998168945</v>
          </cell>
          <cell r="H11">
            <v>151.919998168945</v>
          </cell>
          <cell r="I11">
            <v>151.68840026855401</v>
          </cell>
          <cell r="J11">
            <v>64120100</v>
          </cell>
          <cell r="K11">
            <v>150.68840026855401</v>
          </cell>
          <cell r="AF11" t="str">
            <v>AAPL</v>
          </cell>
          <cell r="AH11">
            <v>60282958.064516127</v>
          </cell>
        </row>
        <row r="12">
          <cell r="D12">
            <v>44966</v>
          </cell>
          <cell r="E12">
            <v>153.77999877929599</v>
          </cell>
          <cell r="F12">
            <v>154.33000183105401</v>
          </cell>
          <cell r="G12">
            <v>150.419998168945</v>
          </cell>
          <cell r="H12">
            <v>150.86999511718699</v>
          </cell>
          <cell r="I12">
            <v>150.63999938964801</v>
          </cell>
          <cell r="J12">
            <v>56007100</v>
          </cell>
          <cell r="K12">
            <v>149.63999938964801</v>
          </cell>
          <cell r="AF12" t="str">
            <v>NSFT</v>
          </cell>
          <cell r="AH12">
            <v>6471732.2580645159</v>
          </cell>
        </row>
        <row r="13">
          <cell r="D13">
            <v>44967</v>
          </cell>
          <cell r="E13">
            <v>149.46000671386699</v>
          </cell>
          <cell r="F13">
            <v>151.33999633789</v>
          </cell>
          <cell r="G13">
            <v>149.22000122070301</v>
          </cell>
          <cell r="H13">
            <v>151.009994506835</v>
          </cell>
          <cell r="I13">
            <v>151.009994506835</v>
          </cell>
          <cell r="J13">
            <v>57450700</v>
          </cell>
          <cell r="K13">
            <v>150.009994506835</v>
          </cell>
          <cell r="AF13" t="str">
            <v>MSFT</v>
          </cell>
          <cell r="AH13">
            <v>30848353.225806452</v>
          </cell>
        </row>
        <row r="14">
          <cell r="D14">
            <v>44970</v>
          </cell>
          <cell r="E14">
            <v>150.94999694824199</v>
          </cell>
          <cell r="F14">
            <v>154.259994506835</v>
          </cell>
          <cell r="G14">
            <v>150.919998168945</v>
          </cell>
          <cell r="H14">
            <v>153.850006103515</v>
          </cell>
          <cell r="I14">
            <v>153.850006103515</v>
          </cell>
          <cell r="J14">
            <v>62199000</v>
          </cell>
          <cell r="K14">
            <v>152.850006103515</v>
          </cell>
          <cell r="AF14" t="str">
            <v>GOOG</v>
          </cell>
          <cell r="AH14">
            <v>30725372.580645163</v>
          </cell>
        </row>
        <row r="15">
          <cell r="D15">
            <v>44971</v>
          </cell>
          <cell r="E15">
            <v>152.11999511718699</v>
          </cell>
          <cell r="F15">
            <v>153.77000427246</v>
          </cell>
          <cell r="G15">
            <v>150.86000061035099</v>
          </cell>
          <cell r="H15">
            <v>153.19999694824199</v>
          </cell>
          <cell r="I15">
            <v>153.19999694824199</v>
          </cell>
          <cell r="J15">
            <v>61707600</v>
          </cell>
          <cell r="K15">
            <v>152.19999694824199</v>
          </cell>
        </row>
        <row r="16">
          <cell r="D16">
            <v>44972</v>
          </cell>
          <cell r="E16">
            <v>153.11000061035099</v>
          </cell>
          <cell r="F16">
            <v>155.5</v>
          </cell>
          <cell r="G16">
            <v>152.88000488281199</v>
          </cell>
          <cell r="H16">
            <v>155.33000183105401</v>
          </cell>
          <cell r="I16">
            <v>155.33000183105401</v>
          </cell>
          <cell r="J16">
            <v>65573800</v>
          </cell>
          <cell r="K16">
            <v>154.33000183105401</v>
          </cell>
        </row>
        <row r="17">
          <cell r="D17">
            <v>44973</v>
          </cell>
          <cell r="E17">
            <v>153.509994506835</v>
          </cell>
          <cell r="F17">
            <v>156.33000183105401</v>
          </cell>
          <cell r="G17">
            <v>153.350006103515</v>
          </cell>
          <cell r="H17">
            <v>153.71000671386699</v>
          </cell>
          <cell r="I17">
            <v>153.71000671386699</v>
          </cell>
          <cell r="J17">
            <v>68167900</v>
          </cell>
          <cell r="K17">
            <v>152.71000671386699</v>
          </cell>
        </row>
        <row r="18">
          <cell r="D18">
            <v>44974</v>
          </cell>
          <cell r="E18">
            <v>152.350006103515</v>
          </cell>
          <cell r="F18">
            <v>153</v>
          </cell>
          <cell r="G18">
            <v>150.850006103515</v>
          </cell>
          <cell r="H18">
            <v>152.55000305175699</v>
          </cell>
          <cell r="I18">
            <v>152.55000305175699</v>
          </cell>
          <cell r="J18">
            <v>59144100</v>
          </cell>
          <cell r="K18">
            <v>151.55000305175699</v>
          </cell>
        </row>
        <row r="19">
          <cell r="D19">
            <v>44978</v>
          </cell>
          <cell r="E19">
            <v>150.19999694824199</v>
          </cell>
          <cell r="F19">
            <v>151.30000305175699</v>
          </cell>
          <cell r="G19">
            <v>148.41000366210901</v>
          </cell>
          <cell r="H19">
            <v>148.47999572753901</v>
          </cell>
          <cell r="I19">
            <v>148.47999572753901</v>
          </cell>
          <cell r="J19">
            <v>58867200</v>
          </cell>
          <cell r="K19">
            <v>147.47999572753901</v>
          </cell>
        </row>
        <row r="20">
          <cell r="D20">
            <v>44979</v>
          </cell>
          <cell r="E20">
            <v>148.86999511718699</v>
          </cell>
          <cell r="F20">
            <v>149.94999694824199</v>
          </cell>
          <cell r="G20">
            <v>147.16000366210901</v>
          </cell>
          <cell r="H20">
            <v>148.91000366210901</v>
          </cell>
          <cell r="I20">
            <v>148.91000366210901</v>
          </cell>
          <cell r="J20">
            <v>51011300</v>
          </cell>
          <cell r="K20">
            <v>147.91000366210901</v>
          </cell>
        </row>
        <row r="21">
          <cell r="D21">
            <v>44980</v>
          </cell>
          <cell r="E21">
            <v>150.08999633789</v>
          </cell>
          <cell r="F21">
            <v>150.33999633789</v>
          </cell>
          <cell r="G21">
            <v>147.24000549316401</v>
          </cell>
          <cell r="H21">
            <v>149.39999389648401</v>
          </cell>
          <cell r="I21">
            <v>149.39999389648401</v>
          </cell>
          <cell r="J21">
            <v>48394200</v>
          </cell>
          <cell r="K21">
            <v>148.39999389648401</v>
          </cell>
        </row>
        <row r="22">
          <cell r="D22">
            <v>44981</v>
          </cell>
          <cell r="E22">
            <v>147.11000061035099</v>
          </cell>
          <cell r="F22">
            <v>147.19000244140599</v>
          </cell>
          <cell r="G22">
            <v>145.72000122070301</v>
          </cell>
          <cell r="H22">
            <v>146.71000671386699</v>
          </cell>
          <cell r="I22">
            <v>146.71000671386699</v>
          </cell>
          <cell r="J22">
            <v>55469600</v>
          </cell>
          <cell r="K22">
            <v>145.71000671386699</v>
          </cell>
        </row>
        <row r="23">
          <cell r="D23">
            <v>44984</v>
          </cell>
          <cell r="E23">
            <v>147.71000671386699</v>
          </cell>
          <cell r="F23">
            <v>149.169998168945</v>
          </cell>
          <cell r="G23">
            <v>147.44999694824199</v>
          </cell>
          <cell r="H23">
            <v>147.919998168945</v>
          </cell>
          <cell r="I23">
            <v>147.919998168945</v>
          </cell>
          <cell r="J23">
            <v>44998500</v>
          </cell>
          <cell r="K23">
            <v>146.919998168945</v>
          </cell>
        </row>
        <row r="24">
          <cell r="D24">
            <v>44985</v>
          </cell>
          <cell r="E24">
            <v>147.05000305175699</v>
          </cell>
          <cell r="F24">
            <v>149.08000183105401</v>
          </cell>
          <cell r="G24">
            <v>146.83000183105401</v>
          </cell>
          <cell r="H24">
            <v>147.41000366210901</v>
          </cell>
          <cell r="I24">
            <v>147.41000366210901</v>
          </cell>
          <cell r="J24">
            <v>50547000</v>
          </cell>
          <cell r="K24">
            <v>146.41000366210901</v>
          </cell>
        </row>
        <row r="25">
          <cell r="D25">
            <v>44986</v>
          </cell>
          <cell r="E25">
            <v>146.83000183105401</v>
          </cell>
          <cell r="F25">
            <v>147.22999572753901</v>
          </cell>
          <cell r="G25">
            <v>145.009994506835</v>
          </cell>
          <cell r="H25">
            <v>145.30999755859301</v>
          </cell>
          <cell r="I25">
            <v>145.30999755859301</v>
          </cell>
          <cell r="J25">
            <v>55479000</v>
          </cell>
          <cell r="K25">
            <v>144.30999755859301</v>
          </cell>
        </row>
        <row r="26">
          <cell r="D26">
            <v>44987</v>
          </cell>
          <cell r="E26">
            <v>144.38000488281199</v>
          </cell>
          <cell r="F26">
            <v>146.71000671386699</v>
          </cell>
          <cell r="G26">
            <v>143.89999389648401</v>
          </cell>
          <cell r="H26">
            <v>145.91000366210901</v>
          </cell>
          <cell r="I26">
            <v>145.91000366210901</v>
          </cell>
          <cell r="J26">
            <v>52238100</v>
          </cell>
          <cell r="K26">
            <v>144.91000366210901</v>
          </cell>
        </row>
        <row r="27">
          <cell r="D27">
            <v>44988</v>
          </cell>
          <cell r="E27">
            <v>148.03999328613199</v>
          </cell>
          <cell r="F27">
            <v>151.11000061035099</v>
          </cell>
          <cell r="G27">
            <v>147.33000183105401</v>
          </cell>
          <cell r="H27">
            <v>151.02999877929599</v>
          </cell>
          <cell r="I27">
            <v>151.02999877929599</v>
          </cell>
          <cell r="J27">
            <v>70732300</v>
          </cell>
          <cell r="K27">
            <v>150.02999877929599</v>
          </cell>
        </row>
        <row r="28">
          <cell r="D28">
            <v>44991</v>
          </cell>
          <cell r="E28">
            <v>153.78999328613199</v>
          </cell>
          <cell r="F28">
            <v>156.30000305175699</v>
          </cell>
          <cell r="G28">
            <v>153.46000671386699</v>
          </cell>
          <cell r="H28">
            <v>153.83000183105401</v>
          </cell>
          <cell r="I28">
            <v>153.83000183105401</v>
          </cell>
          <cell r="J28">
            <v>87558000</v>
          </cell>
          <cell r="K28">
            <v>152.83000183105401</v>
          </cell>
        </row>
        <row r="29">
          <cell r="D29">
            <v>44992</v>
          </cell>
          <cell r="E29">
            <v>153.69999694824199</v>
          </cell>
          <cell r="F29">
            <v>154.02999877929599</v>
          </cell>
          <cell r="G29">
            <v>151.13000488281199</v>
          </cell>
          <cell r="H29">
            <v>151.600006103515</v>
          </cell>
          <cell r="I29">
            <v>151.600006103515</v>
          </cell>
          <cell r="J29">
            <v>56182000</v>
          </cell>
          <cell r="K29">
            <v>150.600006103515</v>
          </cell>
        </row>
        <row r="30">
          <cell r="D30">
            <v>44993</v>
          </cell>
          <cell r="E30">
            <v>152.80999755859301</v>
          </cell>
          <cell r="F30">
            <v>153.47000122070301</v>
          </cell>
          <cell r="G30">
            <v>151.83000183105401</v>
          </cell>
          <cell r="H30">
            <v>152.86999511718699</v>
          </cell>
          <cell r="I30">
            <v>152.86999511718699</v>
          </cell>
          <cell r="J30">
            <v>47204800</v>
          </cell>
          <cell r="K30">
            <v>151.86999511718699</v>
          </cell>
        </row>
        <row r="31">
          <cell r="D31">
            <v>44994</v>
          </cell>
          <cell r="E31">
            <v>153.55999755859301</v>
          </cell>
          <cell r="F31">
            <v>154.53999328613199</v>
          </cell>
          <cell r="G31">
            <v>150.22999572753901</v>
          </cell>
          <cell r="H31">
            <v>150.58999633789</v>
          </cell>
          <cell r="I31">
            <v>150.58999633789</v>
          </cell>
          <cell r="J31">
            <v>53833600</v>
          </cell>
          <cell r="K31">
            <v>149.58999633789</v>
          </cell>
        </row>
        <row r="32">
          <cell r="D32">
            <v>44995</v>
          </cell>
          <cell r="E32">
            <v>150.21000671386699</v>
          </cell>
          <cell r="F32">
            <v>150.94000244140599</v>
          </cell>
          <cell r="G32">
            <v>147.61000061035099</v>
          </cell>
          <cell r="H32">
            <v>148.5</v>
          </cell>
          <cell r="I32">
            <v>148.5</v>
          </cell>
          <cell r="J32">
            <v>68572400</v>
          </cell>
          <cell r="K32">
            <v>147.5</v>
          </cell>
        </row>
        <row r="33">
          <cell r="D33">
            <v>44998</v>
          </cell>
          <cell r="E33">
            <v>147.80999755859301</v>
          </cell>
          <cell r="F33">
            <v>153.13999938964801</v>
          </cell>
          <cell r="G33">
            <v>147.69999694824199</v>
          </cell>
          <cell r="H33">
            <v>150.47000122070301</v>
          </cell>
          <cell r="I33">
            <v>150.47000122070301</v>
          </cell>
          <cell r="J33">
            <v>84457100</v>
          </cell>
          <cell r="K33">
            <v>149.47000122070301</v>
          </cell>
        </row>
        <row r="34">
          <cell r="D34">
            <v>44999</v>
          </cell>
          <cell r="E34">
            <v>151.27999877929599</v>
          </cell>
          <cell r="F34">
            <v>153.39999389648401</v>
          </cell>
          <cell r="G34">
            <v>150.100006103515</v>
          </cell>
          <cell r="H34">
            <v>152.58999633789</v>
          </cell>
          <cell r="I34">
            <v>152.58999633789</v>
          </cell>
          <cell r="J34">
            <v>73695900</v>
          </cell>
          <cell r="K34">
            <v>151.58999633789</v>
          </cell>
        </row>
        <row r="35">
          <cell r="D35">
            <v>45000</v>
          </cell>
          <cell r="E35">
            <v>151.19000244140599</v>
          </cell>
          <cell r="F35">
            <v>153.25</v>
          </cell>
          <cell r="G35">
            <v>149.919998168945</v>
          </cell>
          <cell r="H35">
            <v>152.99000549316401</v>
          </cell>
          <cell r="I35">
            <v>152.99000549316401</v>
          </cell>
          <cell r="J35">
            <v>77167900</v>
          </cell>
          <cell r="K35">
            <v>151.99000549316401</v>
          </cell>
        </row>
        <row r="36">
          <cell r="D36">
            <v>45001</v>
          </cell>
          <cell r="E36">
            <v>152.16000366210901</v>
          </cell>
          <cell r="F36">
            <v>156.46000671386699</v>
          </cell>
          <cell r="G36">
            <v>151.63999938964801</v>
          </cell>
          <cell r="H36">
            <v>155.850006103515</v>
          </cell>
          <cell r="I36">
            <v>155.850006103515</v>
          </cell>
          <cell r="J36">
            <v>76161100</v>
          </cell>
          <cell r="K36">
            <v>154.850006103515</v>
          </cell>
        </row>
        <row r="37">
          <cell r="D37">
            <v>45002</v>
          </cell>
          <cell r="E37">
            <v>156.08000183105401</v>
          </cell>
          <cell r="F37">
            <v>156.74000549316401</v>
          </cell>
          <cell r="G37">
            <v>154.27999877929599</v>
          </cell>
          <cell r="H37">
            <v>155</v>
          </cell>
          <cell r="I37">
            <v>155</v>
          </cell>
          <cell r="J37">
            <v>98944600</v>
          </cell>
          <cell r="K37">
            <v>154</v>
          </cell>
        </row>
        <row r="38">
          <cell r="D38">
            <v>45005</v>
          </cell>
          <cell r="E38">
            <v>155.07000732421801</v>
          </cell>
          <cell r="F38">
            <v>157.82000732421801</v>
          </cell>
          <cell r="G38">
            <v>154.14999389648401</v>
          </cell>
          <cell r="H38">
            <v>157.39999389648401</v>
          </cell>
          <cell r="I38">
            <v>157.39999389648401</v>
          </cell>
          <cell r="J38">
            <v>73641400</v>
          </cell>
          <cell r="K38">
            <v>156.39999389648401</v>
          </cell>
        </row>
        <row r="39">
          <cell r="D39">
            <v>45006</v>
          </cell>
          <cell r="E39">
            <v>157.32000732421801</v>
          </cell>
          <cell r="F39">
            <v>159.39999389648401</v>
          </cell>
          <cell r="G39">
            <v>156.53999328613199</v>
          </cell>
          <cell r="H39">
            <v>159.27999877929599</v>
          </cell>
          <cell r="I39">
            <v>159.27999877929599</v>
          </cell>
          <cell r="J39">
            <v>73938300</v>
          </cell>
          <cell r="K39">
            <v>158.27999877929599</v>
          </cell>
        </row>
        <row r="40">
          <cell r="D40">
            <v>45007</v>
          </cell>
          <cell r="E40">
            <v>159.30000305175699</v>
          </cell>
          <cell r="F40">
            <v>162.13999938964801</v>
          </cell>
          <cell r="G40">
            <v>157.80999755859301</v>
          </cell>
          <cell r="H40">
            <v>157.83000183105401</v>
          </cell>
          <cell r="I40">
            <v>157.83000183105401</v>
          </cell>
          <cell r="J40">
            <v>75701800</v>
          </cell>
          <cell r="K40">
            <v>156.83000183105401</v>
          </cell>
        </row>
        <row r="41">
          <cell r="D41">
            <v>45008</v>
          </cell>
          <cell r="E41">
            <v>158.83000183105401</v>
          </cell>
          <cell r="F41">
            <v>161.55000305175699</v>
          </cell>
          <cell r="G41">
            <v>157.67999267578099</v>
          </cell>
          <cell r="H41">
            <v>158.92999267578099</v>
          </cell>
          <cell r="I41">
            <v>158.92999267578099</v>
          </cell>
          <cell r="J41">
            <v>67622100</v>
          </cell>
          <cell r="K41">
            <v>157.92999267578099</v>
          </cell>
        </row>
        <row r="42">
          <cell r="D42">
            <v>45009</v>
          </cell>
          <cell r="E42">
            <v>158.86000061035099</v>
          </cell>
          <cell r="F42">
            <v>160.33999633789</v>
          </cell>
          <cell r="G42">
            <v>157.850006103515</v>
          </cell>
          <cell r="H42">
            <v>160.25</v>
          </cell>
          <cell r="I42">
            <v>160.25</v>
          </cell>
          <cell r="J42">
            <v>59196500</v>
          </cell>
          <cell r="K42">
            <v>159.25</v>
          </cell>
        </row>
        <row r="43">
          <cell r="D43">
            <v>45012</v>
          </cell>
          <cell r="E43">
            <v>159.94000244140599</v>
          </cell>
          <cell r="F43">
            <v>160.77000427246</v>
          </cell>
          <cell r="G43">
            <v>157.86999511718699</v>
          </cell>
          <cell r="H43">
            <v>158.27999877929599</v>
          </cell>
          <cell r="I43">
            <v>158.27999877929599</v>
          </cell>
          <cell r="J43">
            <v>52390300</v>
          </cell>
          <cell r="K43">
            <v>157.27999877929599</v>
          </cell>
        </row>
        <row r="44">
          <cell r="D44">
            <v>45013</v>
          </cell>
          <cell r="E44">
            <v>157.97000122070301</v>
          </cell>
          <cell r="F44">
            <v>158.49000549316401</v>
          </cell>
          <cell r="G44">
            <v>155.97999572753901</v>
          </cell>
          <cell r="H44">
            <v>157.64999389648401</v>
          </cell>
          <cell r="I44">
            <v>157.64999389648401</v>
          </cell>
          <cell r="J44">
            <v>45992200</v>
          </cell>
          <cell r="K44">
            <v>156.64999389648401</v>
          </cell>
        </row>
        <row r="45">
          <cell r="D45">
            <v>45014</v>
          </cell>
          <cell r="E45">
            <v>159.36999511718699</v>
          </cell>
          <cell r="F45">
            <v>161.05000305175699</v>
          </cell>
          <cell r="G45">
            <v>159.350006103515</v>
          </cell>
          <cell r="H45">
            <v>160.77000427246</v>
          </cell>
          <cell r="I45">
            <v>160.77000427246</v>
          </cell>
          <cell r="J45">
            <v>51305700</v>
          </cell>
          <cell r="K45">
            <v>159.77000427246</v>
          </cell>
        </row>
        <row r="46">
          <cell r="D46">
            <v>45015</v>
          </cell>
          <cell r="E46">
            <v>161.52999877929599</v>
          </cell>
          <cell r="F46">
            <v>162.47000122070301</v>
          </cell>
          <cell r="G46">
            <v>161.27000427246</v>
          </cell>
          <cell r="H46">
            <v>162.36000061035099</v>
          </cell>
          <cell r="I46">
            <v>162.36000061035099</v>
          </cell>
          <cell r="J46">
            <v>49501700</v>
          </cell>
          <cell r="K46">
            <v>161.36000061035099</v>
          </cell>
        </row>
        <row r="47">
          <cell r="D47">
            <v>45016</v>
          </cell>
          <cell r="E47">
            <v>162.44000244140599</v>
          </cell>
          <cell r="F47">
            <v>165</v>
          </cell>
          <cell r="G47">
            <v>161.91000366210901</v>
          </cell>
          <cell r="H47">
            <v>164.89999389648401</v>
          </cell>
          <cell r="I47">
            <v>164.89999389648401</v>
          </cell>
          <cell r="J47">
            <v>68749800</v>
          </cell>
          <cell r="K47">
            <v>163.89999389648401</v>
          </cell>
        </row>
        <row r="48">
          <cell r="D48">
            <v>45019</v>
          </cell>
          <cell r="E48">
            <v>164.27000427246</v>
          </cell>
          <cell r="F48">
            <v>166.28999328613199</v>
          </cell>
          <cell r="G48">
            <v>164.22000122070301</v>
          </cell>
          <cell r="H48">
            <v>166.169998168945</v>
          </cell>
          <cell r="I48">
            <v>166.169998168945</v>
          </cell>
          <cell r="J48">
            <v>56976200</v>
          </cell>
          <cell r="K48">
            <v>165.169998168945</v>
          </cell>
        </row>
        <row r="49">
          <cell r="D49">
            <v>45020</v>
          </cell>
          <cell r="E49">
            <v>166.600006103515</v>
          </cell>
          <cell r="F49">
            <v>166.83999633789</v>
          </cell>
          <cell r="G49">
            <v>165.11000061035099</v>
          </cell>
          <cell r="H49">
            <v>165.63000488281199</v>
          </cell>
          <cell r="I49">
            <v>165.63000488281199</v>
          </cell>
          <cell r="J49">
            <v>46278300</v>
          </cell>
          <cell r="K49">
            <v>164.63000488281199</v>
          </cell>
        </row>
        <row r="50">
          <cell r="D50">
            <v>45021</v>
          </cell>
          <cell r="E50">
            <v>164.74000549316401</v>
          </cell>
          <cell r="F50">
            <v>165.05000305175699</v>
          </cell>
          <cell r="G50">
            <v>161.80000305175699</v>
          </cell>
          <cell r="H50">
            <v>163.759994506835</v>
          </cell>
          <cell r="I50">
            <v>163.759994506835</v>
          </cell>
          <cell r="J50">
            <v>51511700</v>
          </cell>
          <cell r="K50">
            <v>162.759994506835</v>
          </cell>
        </row>
        <row r="51">
          <cell r="D51">
            <v>45022</v>
          </cell>
          <cell r="E51">
            <v>162.42999267578099</v>
          </cell>
          <cell r="F51">
            <v>164.96000671386699</v>
          </cell>
          <cell r="G51">
            <v>162</v>
          </cell>
          <cell r="H51">
            <v>164.66000366210901</v>
          </cell>
          <cell r="I51">
            <v>164.66000366210901</v>
          </cell>
          <cell r="J51">
            <v>45390100</v>
          </cell>
          <cell r="K51">
            <v>163.66000366210901</v>
          </cell>
        </row>
        <row r="52">
          <cell r="D52">
            <v>45026</v>
          </cell>
          <cell r="E52">
            <v>161.419998168945</v>
          </cell>
          <cell r="F52">
            <v>162.02999877929599</v>
          </cell>
          <cell r="G52">
            <v>160.08000183105401</v>
          </cell>
          <cell r="H52">
            <v>162.02999877929599</v>
          </cell>
          <cell r="I52">
            <v>162.02999877929599</v>
          </cell>
          <cell r="J52">
            <v>47716900</v>
          </cell>
          <cell r="K52">
            <v>161.02999877929599</v>
          </cell>
        </row>
        <row r="53">
          <cell r="D53">
            <v>45027</v>
          </cell>
          <cell r="E53">
            <v>162.350006103515</v>
          </cell>
          <cell r="F53">
            <v>162.36000061035099</v>
          </cell>
          <cell r="G53">
            <v>160.509994506835</v>
          </cell>
          <cell r="H53">
            <v>160.80000305175699</v>
          </cell>
          <cell r="I53">
            <v>160.80000305175699</v>
          </cell>
          <cell r="J53">
            <v>47644200</v>
          </cell>
          <cell r="K53">
            <v>159.80000305175699</v>
          </cell>
        </row>
        <row r="54">
          <cell r="D54">
            <v>45028</v>
          </cell>
          <cell r="E54">
            <v>161.22000122070301</v>
          </cell>
          <cell r="F54">
            <v>162.05999755859301</v>
          </cell>
          <cell r="G54">
            <v>159.77999877929599</v>
          </cell>
          <cell r="H54">
            <v>160.100006103515</v>
          </cell>
          <cell r="I54">
            <v>160.100006103515</v>
          </cell>
          <cell r="J54">
            <v>50133100</v>
          </cell>
          <cell r="K54">
            <v>159.100006103515</v>
          </cell>
        </row>
        <row r="55">
          <cell r="D55">
            <v>45029</v>
          </cell>
          <cell r="E55">
            <v>161.63000488281199</v>
          </cell>
          <cell r="F55">
            <v>165.80000305175699</v>
          </cell>
          <cell r="G55">
            <v>161.419998168945</v>
          </cell>
          <cell r="H55">
            <v>165.55999755859301</v>
          </cell>
          <cell r="I55">
            <v>165.55999755859301</v>
          </cell>
          <cell r="J55">
            <v>68445600</v>
          </cell>
          <cell r="K55">
            <v>164.55999755859301</v>
          </cell>
        </row>
        <row r="56">
          <cell r="D56">
            <v>45030</v>
          </cell>
          <cell r="E56">
            <v>164.58999633789</v>
          </cell>
          <cell r="F56">
            <v>166.32000732421801</v>
          </cell>
          <cell r="G56">
            <v>163.82000732421801</v>
          </cell>
          <cell r="H56">
            <v>165.21000671386699</v>
          </cell>
          <cell r="I56">
            <v>165.21000671386699</v>
          </cell>
          <cell r="J56">
            <v>49386500</v>
          </cell>
          <cell r="K56">
            <v>164.21000671386699</v>
          </cell>
        </row>
        <row r="57">
          <cell r="D57">
            <v>45033</v>
          </cell>
          <cell r="E57">
            <v>165.08999633789</v>
          </cell>
          <cell r="F57">
            <v>165.38999938964801</v>
          </cell>
          <cell r="G57">
            <v>164.02999877929599</v>
          </cell>
          <cell r="H57">
            <v>165.22999572753901</v>
          </cell>
          <cell r="I57">
            <v>165.22999572753901</v>
          </cell>
          <cell r="J57">
            <v>41516200</v>
          </cell>
          <cell r="K57">
            <v>164.22999572753901</v>
          </cell>
        </row>
        <row r="58">
          <cell r="D58">
            <v>45034</v>
          </cell>
          <cell r="E58">
            <v>166.100006103515</v>
          </cell>
          <cell r="F58">
            <v>167.41000366210901</v>
          </cell>
          <cell r="G58">
            <v>165.64999389648401</v>
          </cell>
          <cell r="H58">
            <v>166.47000122070301</v>
          </cell>
          <cell r="I58">
            <v>166.47000122070301</v>
          </cell>
          <cell r="J58">
            <v>49923000</v>
          </cell>
          <cell r="K58">
            <v>165.47000122070301</v>
          </cell>
        </row>
        <row r="59">
          <cell r="D59">
            <v>45035</v>
          </cell>
          <cell r="E59">
            <v>165.80000305175699</v>
          </cell>
          <cell r="F59">
            <v>168.16000366210901</v>
          </cell>
          <cell r="G59">
            <v>165.53999328613199</v>
          </cell>
          <cell r="H59">
            <v>167.63000488281199</v>
          </cell>
          <cell r="I59">
            <v>167.63000488281199</v>
          </cell>
          <cell r="J59">
            <v>47720200</v>
          </cell>
          <cell r="K59">
            <v>166.63000488281199</v>
          </cell>
        </row>
        <row r="60">
          <cell r="D60">
            <v>45036</v>
          </cell>
          <cell r="E60">
            <v>166.08999633789</v>
          </cell>
          <cell r="F60">
            <v>167.86999511718699</v>
          </cell>
          <cell r="G60">
            <v>165.55999755859301</v>
          </cell>
          <cell r="H60">
            <v>166.64999389648401</v>
          </cell>
          <cell r="I60">
            <v>166.64999389648401</v>
          </cell>
          <cell r="J60">
            <v>52456400</v>
          </cell>
          <cell r="K60">
            <v>165.64999389648401</v>
          </cell>
        </row>
        <row r="61">
          <cell r="D61">
            <v>45037</v>
          </cell>
          <cell r="E61">
            <v>165.05000305175699</v>
          </cell>
          <cell r="F61">
            <v>166.44999694824199</v>
          </cell>
          <cell r="G61">
            <v>164.49000549316401</v>
          </cell>
          <cell r="H61">
            <v>165.02000427246</v>
          </cell>
          <cell r="I61">
            <v>165.02000427246</v>
          </cell>
          <cell r="J61">
            <v>58337300</v>
          </cell>
          <cell r="K61">
            <v>164.02000427246</v>
          </cell>
        </row>
        <row r="62">
          <cell r="D62">
            <v>45040</v>
          </cell>
          <cell r="E62">
            <v>165</v>
          </cell>
          <cell r="F62">
            <v>165.600006103515</v>
          </cell>
          <cell r="G62">
            <v>163.88999938964801</v>
          </cell>
          <cell r="H62">
            <v>165.33000183105401</v>
          </cell>
          <cell r="I62">
            <v>165.33000183105401</v>
          </cell>
          <cell r="J62">
            <v>41949600</v>
          </cell>
          <cell r="K62">
            <v>164.33000183105401</v>
          </cell>
        </row>
        <row r="63">
          <cell r="D63">
            <v>45041</v>
          </cell>
          <cell r="E63">
            <v>165.19000244140599</v>
          </cell>
          <cell r="F63">
            <v>166.30999755859301</v>
          </cell>
          <cell r="G63">
            <v>163.72999572753901</v>
          </cell>
          <cell r="H63">
            <v>163.77000427246</v>
          </cell>
          <cell r="I63">
            <v>163.77000427246</v>
          </cell>
          <cell r="J63">
            <v>48714100</v>
          </cell>
          <cell r="K63">
            <v>162.77000427246</v>
          </cell>
        </row>
        <row r="64">
          <cell r="D64">
            <v>45042</v>
          </cell>
          <cell r="E64">
            <v>163.05999755859301</v>
          </cell>
          <cell r="F64">
            <v>165.27999877929599</v>
          </cell>
          <cell r="G64">
            <v>162.80000305175699</v>
          </cell>
          <cell r="H64">
            <v>163.759994506835</v>
          </cell>
          <cell r="I64">
            <v>163.759994506835</v>
          </cell>
          <cell r="J64">
            <v>45498800</v>
          </cell>
          <cell r="K64">
            <v>162.759994506835</v>
          </cell>
        </row>
        <row r="65">
          <cell r="D65">
            <v>45043</v>
          </cell>
          <cell r="E65">
            <v>165.19000244140599</v>
          </cell>
          <cell r="F65">
            <v>168.55999755859301</v>
          </cell>
          <cell r="G65">
            <v>165.19000244140599</v>
          </cell>
          <cell r="H65">
            <v>168.41000366210901</v>
          </cell>
          <cell r="I65">
            <v>168.41000366210901</v>
          </cell>
          <cell r="J65">
            <v>64902300</v>
          </cell>
          <cell r="K65">
            <v>167.41000366210901</v>
          </cell>
        </row>
        <row r="66">
          <cell r="D66">
            <v>45044</v>
          </cell>
          <cell r="E66">
            <v>168.49000549316401</v>
          </cell>
          <cell r="F66">
            <v>169.850006103515</v>
          </cell>
          <cell r="G66">
            <v>167.88000488281199</v>
          </cell>
          <cell r="H66">
            <v>169.67999267578099</v>
          </cell>
          <cell r="I66">
            <v>169.67999267578099</v>
          </cell>
          <cell r="J66">
            <v>55209200</v>
          </cell>
          <cell r="K66">
            <v>168.67999267578099</v>
          </cell>
        </row>
        <row r="67">
          <cell r="D67">
            <v>45047</v>
          </cell>
          <cell r="E67">
            <v>169.27999877929599</v>
          </cell>
          <cell r="F67">
            <v>170.44999694824199</v>
          </cell>
          <cell r="G67">
            <v>168.63999938964801</v>
          </cell>
          <cell r="H67">
            <v>169.58999633789</v>
          </cell>
          <cell r="I67">
            <v>169.58999633789</v>
          </cell>
          <cell r="J67">
            <v>52472900</v>
          </cell>
          <cell r="K67">
            <v>168.58999633789</v>
          </cell>
        </row>
        <row r="68">
          <cell r="D68">
            <v>45048</v>
          </cell>
          <cell r="E68">
            <v>170.08999633789</v>
          </cell>
          <cell r="F68">
            <v>170.350006103515</v>
          </cell>
          <cell r="G68">
            <v>167.53999328613199</v>
          </cell>
          <cell r="H68">
            <v>168.53999328613199</v>
          </cell>
          <cell r="I68">
            <v>168.53999328613199</v>
          </cell>
          <cell r="J68">
            <v>48425700</v>
          </cell>
          <cell r="K68">
            <v>167.53999328613199</v>
          </cell>
        </row>
        <row r="69">
          <cell r="D69">
            <v>45049</v>
          </cell>
          <cell r="E69">
            <v>169.5</v>
          </cell>
          <cell r="F69">
            <v>170.919998168945</v>
          </cell>
          <cell r="G69">
            <v>167.16000366210901</v>
          </cell>
          <cell r="H69">
            <v>167.44999694824199</v>
          </cell>
          <cell r="I69">
            <v>167.44999694824199</v>
          </cell>
          <cell r="J69">
            <v>65136000</v>
          </cell>
          <cell r="K69">
            <v>166.44999694824199</v>
          </cell>
        </row>
        <row r="70">
          <cell r="D70">
            <v>45050</v>
          </cell>
          <cell r="E70">
            <v>164.88999938964801</v>
          </cell>
          <cell r="F70">
            <v>167.03999328613199</v>
          </cell>
          <cell r="G70">
            <v>164.30999755859301</v>
          </cell>
          <cell r="H70">
            <v>165.78999328613199</v>
          </cell>
          <cell r="I70">
            <v>165.78999328613199</v>
          </cell>
          <cell r="J70">
            <v>81235400</v>
          </cell>
          <cell r="K70">
            <v>164.78999328613199</v>
          </cell>
        </row>
        <row r="71">
          <cell r="D71">
            <v>45051</v>
          </cell>
          <cell r="E71">
            <v>170.97999572753901</v>
          </cell>
          <cell r="F71">
            <v>174.30000305175699</v>
          </cell>
          <cell r="G71">
            <v>170.759994506835</v>
          </cell>
          <cell r="H71">
            <v>173.57000732421801</v>
          </cell>
          <cell r="I71">
            <v>173.57000732421801</v>
          </cell>
          <cell r="J71">
            <v>113316400</v>
          </cell>
          <cell r="K71">
            <v>172.57000732421801</v>
          </cell>
        </row>
        <row r="74">
          <cell r="E74" t="str">
            <v>Open</v>
          </cell>
          <cell r="F74" t="str">
            <v>High</v>
          </cell>
          <cell r="G74" t="str">
            <v>Low</v>
          </cell>
          <cell r="H74" t="str">
            <v>Close</v>
          </cell>
          <cell r="I74" t="str">
            <v>Adj Close</v>
          </cell>
        </row>
        <row r="76">
          <cell r="E76">
            <v>260.52999877929602</v>
          </cell>
          <cell r="F76">
            <v>268.76998901367102</v>
          </cell>
          <cell r="G76">
            <v>260.079986572265</v>
          </cell>
          <cell r="H76">
            <v>267.55999755859301</v>
          </cell>
          <cell r="I76">
            <v>266.891510009765</v>
          </cell>
          <cell r="J76">
            <v>50841400</v>
          </cell>
        </row>
        <row r="77">
          <cell r="D77">
            <v>44965</v>
          </cell>
          <cell r="E77">
            <v>273.20001220703102</v>
          </cell>
          <cell r="F77">
            <v>276.760009765625</v>
          </cell>
          <cell r="G77">
            <v>266.20999145507801</v>
          </cell>
          <cell r="H77">
            <v>266.73001098632801</v>
          </cell>
          <cell r="I77">
            <v>266.06359863281199</v>
          </cell>
          <cell r="J77">
            <v>54686000</v>
          </cell>
          <cell r="K77">
            <v>265.06359863281199</v>
          </cell>
        </row>
        <row r="78">
          <cell r="D78">
            <v>44966</v>
          </cell>
          <cell r="E78">
            <v>273.79998779296801</v>
          </cell>
          <cell r="F78">
            <v>273.98001098632801</v>
          </cell>
          <cell r="G78">
            <v>262.79998779296801</v>
          </cell>
          <cell r="H78">
            <v>263.61999511718699</v>
          </cell>
          <cell r="I78">
            <v>262.96136474609301</v>
          </cell>
          <cell r="J78">
            <v>42375100</v>
          </cell>
          <cell r="K78">
            <v>261.96136474609301</v>
          </cell>
        </row>
        <row r="79">
          <cell r="D79">
            <v>44967</v>
          </cell>
          <cell r="E79">
            <v>261.52999877929602</v>
          </cell>
          <cell r="F79">
            <v>264.08999633789</v>
          </cell>
          <cell r="G79">
            <v>260.66000366210898</v>
          </cell>
          <cell r="H79">
            <v>263.100006103515</v>
          </cell>
          <cell r="I79">
            <v>262.44265747070301</v>
          </cell>
          <cell r="J79">
            <v>25818500</v>
          </cell>
          <cell r="K79">
            <v>261.44265747070301</v>
          </cell>
        </row>
        <row r="80">
          <cell r="D80">
            <v>44970</v>
          </cell>
          <cell r="E80">
            <v>267.64001464843699</v>
          </cell>
          <cell r="F80">
            <v>274.600006103515</v>
          </cell>
          <cell r="G80">
            <v>267.14999389648398</v>
          </cell>
          <cell r="H80">
            <v>271.32000732421801</v>
          </cell>
          <cell r="I80">
            <v>270.64212036132801</v>
          </cell>
          <cell r="J80">
            <v>44630900</v>
          </cell>
          <cell r="K80">
            <v>269.64212036132801</v>
          </cell>
        </row>
        <row r="81">
          <cell r="D81">
            <v>44971</v>
          </cell>
          <cell r="E81">
            <v>272.67001342773398</v>
          </cell>
          <cell r="F81">
            <v>274.97000122070301</v>
          </cell>
          <cell r="G81">
            <v>269.27999877929602</v>
          </cell>
          <cell r="H81">
            <v>272.17001342773398</v>
          </cell>
          <cell r="I81">
            <v>271.49002075195301</v>
          </cell>
          <cell r="J81">
            <v>37047900</v>
          </cell>
          <cell r="K81">
            <v>270.49002075195301</v>
          </cell>
        </row>
        <row r="82">
          <cell r="D82">
            <v>44972</v>
          </cell>
          <cell r="E82">
            <v>268.32000732421801</v>
          </cell>
          <cell r="F82">
            <v>270.73001098632801</v>
          </cell>
          <cell r="G82">
            <v>266.17999267578102</v>
          </cell>
          <cell r="H82">
            <v>269.32000732421801</v>
          </cell>
          <cell r="I82">
            <v>269.32000732421801</v>
          </cell>
          <cell r="J82">
            <v>28922400</v>
          </cell>
          <cell r="K82">
            <v>268.32000732421801</v>
          </cell>
        </row>
        <row r="83">
          <cell r="D83">
            <v>44973</v>
          </cell>
          <cell r="E83">
            <v>264.01998901367102</v>
          </cell>
          <cell r="F83">
            <v>266.739990234375</v>
          </cell>
          <cell r="G83">
            <v>261.89999389648398</v>
          </cell>
          <cell r="H83">
            <v>262.14999389648398</v>
          </cell>
          <cell r="I83">
            <v>262.14999389648398</v>
          </cell>
          <cell r="J83">
            <v>29603600</v>
          </cell>
          <cell r="K83">
            <v>261.14999389648398</v>
          </cell>
        </row>
        <row r="84">
          <cell r="D84">
            <v>44974</v>
          </cell>
          <cell r="E84">
            <v>259.39001464843699</v>
          </cell>
          <cell r="F84">
            <v>260.08999633789</v>
          </cell>
          <cell r="G84">
            <v>256</v>
          </cell>
          <cell r="H84">
            <v>258.05999755859301</v>
          </cell>
          <cell r="I84">
            <v>258.05999755859301</v>
          </cell>
          <cell r="J84">
            <v>30000100</v>
          </cell>
          <cell r="K84">
            <v>257.05999755859301</v>
          </cell>
        </row>
        <row r="85">
          <cell r="D85">
            <v>44978</v>
          </cell>
          <cell r="E85">
            <v>254.47999572753901</v>
          </cell>
          <cell r="F85">
            <v>255.49000549316401</v>
          </cell>
          <cell r="G85">
            <v>251.58999633789</v>
          </cell>
          <cell r="H85">
            <v>252.669998168945</v>
          </cell>
          <cell r="I85">
            <v>252.669998168945</v>
          </cell>
          <cell r="J85">
            <v>28397400</v>
          </cell>
          <cell r="K85">
            <v>251.669998168945</v>
          </cell>
        </row>
        <row r="86">
          <cell r="D86">
            <v>44979</v>
          </cell>
          <cell r="E86">
            <v>254.08999633789</v>
          </cell>
          <cell r="F86">
            <v>254.33999633789</v>
          </cell>
          <cell r="G86">
            <v>250.33999633789</v>
          </cell>
          <cell r="H86">
            <v>251.509994506835</v>
          </cell>
          <cell r="I86">
            <v>251.509994506835</v>
          </cell>
          <cell r="J86">
            <v>22491100</v>
          </cell>
          <cell r="K86">
            <v>250.509994506835</v>
          </cell>
        </row>
        <row r="87">
          <cell r="D87">
            <v>44980</v>
          </cell>
          <cell r="E87">
            <v>255.55999755859301</v>
          </cell>
          <cell r="F87">
            <v>256.83999633789</v>
          </cell>
          <cell r="G87">
            <v>250.47999572753901</v>
          </cell>
          <cell r="H87">
            <v>254.77000427246</v>
          </cell>
          <cell r="I87">
            <v>254.77000427246</v>
          </cell>
          <cell r="J87">
            <v>29219100</v>
          </cell>
          <cell r="K87">
            <v>253.77000427246</v>
          </cell>
        </row>
        <row r="88">
          <cell r="D88">
            <v>44981</v>
          </cell>
          <cell r="E88">
            <v>249.96000671386699</v>
          </cell>
          <cell r="F88">
            <v>251</v>
          </cell>
          <cell r="G88">
            <v>248.100006103515</v>
          </cell>
          <cell r="H88">
            <v>249.22000122070301</v>
          </cell>
          <cell r="I88">
            <v>249.22000122070301</v>
          </cell>
          <cell r="J88">
            <v>24990900</v>
          </cell>
          <cell r="K88">
            <v>248.22000122070301</v>
          </cell>
        </row>
        <row r="89">
          <cell r="D89">
            <v>44984</v>
          </cell>
          <cell r="E89">
            <v>252.46000671386699</v>
          </cell>
          <cell r="F89">
            <v>252.82000732421801</v>
          </cell>
          <cell r="G89">
            <v>249.38999938964801</v>
          </cell>
          <cell r="H89">
            <v>250.16000366210901</v>
          </cell>
          <cell r="I89">
            <v>250.16000366210901</v>
          </cell>
          <cell r="J89">
            <v>21190000</v>
          </cell>
          <cell r="K89">
            <v>249.16000366210901</v>
          </cell>
        </row>
        <row r="90">
          <cell r="D90">
            <v>44985</v>
          </cell>
          <cell r="E90">
            <v>249.07000732421801</v>
          </cell>
          <cell r="F90">
            <v>251.49000549316401</v>
          </cell>
          <cell r="G90">
            <v>248.72999572753901</v>
          </cell>
          <cell r="H90">
            <v>249.419998168945</v>
          </cell>
          <cell r="I90">
            <v>249.419998168945</v>
          </cell>
          <cell r="J90">
            <v>22491000</v>
          </cell>
          <cell r="K90">
            <v>248.419998168945</v>
          </cell>
        </row>
        <row r="91">
          <cell r="D91">
            <v>44986</v>
          </cell>
          <cell r="E91">
            <v>250.759994506835</v>
          </cell>
          <cell r="F91">
            <v>250.92999267578099</v>
          </cell>
          <cell r="G91">
            <v>245.78999328613199</v>
          </cell>
          <cell r="H91">
            <v>246.27000427246</v>
          </cell>
          <cell r="I91">
            <v>246.27000427246</v>
          </cell>
          <cell r="J91">
            <v>27565300</v>
          </cell>
          <cell r="K91">
            <v>245.27000427246</v>
          </cell>
        </row>
        <row r="92">
          <cell r="D92">
            <v>44987</v>
          </cell>
          <cell r="E92">
            <v>246.55000305175699</v>
          </cell>
          <cell r="F92">
            <v>251.39999389648401</v>
          </cell>
          <cell r="G92">
            <v>245.61000061035099</v>
          </cell>
          <cell r="H92">
            <v>251.11000061035099</v>
          </cell>
          <cell r="I92">
            <v>251.11000061035099</v>
          </cell>
          <cell r="J92">
            <v>24808200</v>
          </cell>
          <cell r="K92">
            <v>250.11000061035099</v>
          </cell>
        </row>
        <row r="93">
          <cell r="D93">
            <v>44988</v>
          </cell>
          <cell r="E93">
            <v>252.19000244140599</v>
          </cell>
          <cell r="F93">
            <v>255.61999511718699</v>
          </cell>
          <cell r="G93">
            <v>251.38999938964801</v>
          </cell>
          <cell r="H93">
            <v>255.28999328613199</v>
          </cell>
          <cell r="I93">
            <v>255.28999328613199</v>
          </cell>
          <cell r="J93">
            <v>30760100</v>
          </cell>
          <cell r="K93">
            <v>254.28999328613199</v>
          </cell>
        </row>
        <row r="94">
          <cell r="D94">
            <v>44991</v>
          </cell>
          <cell r="E94">
            <v>256.42999267578102</v>
          </cell>
          <cell r="F94">
            <v>260.11999511718699</v>
          </cell>
          <cell r="G94">
            <v>255.97999572753901</v>
          </cell>
          <cell r="H94">
            <v>256.86999511718699</v>
          </cell>
          <cell r="I94">
            <v>256.86999511718699</v>
          </cell>
          <cell r="J94">
            <v>24109800</v>
          </cell>
          <cell r="K94">
            <v>255.86999511718699</v>
          </cell>
        </row>
        <row r="95">
          <cell r="D95">
            <v>44992</v>
          </cell>
          <cell r="E95">
            <v>256.29998779296801</v>
          </cell>
          <cell r="F95">
            <v>257.69000244140602</v>
          </cell>
          <cell r="G95">
            <v>253.38999938964801</v>
          </cell>
          <cell r="H95">
            <v>254.14999389648401</v>
          </cell>
          <cell r="I95">
            <v>254.14999389648401</v>
          </cell>
          <cell r="J95">
            <v>21473200</v>
          </cell>
          <cell r="K95">
            <v>253.14999389648401</v>
          </cell>
        </row>
        <row r="96">
          <cell r="D96">
            <v>44993</v>
          </cell>
          <cell r="E96">
            <v>254.03999328613199</v>
          </cell>
          <cell r="F96">
            <v>254.53999328613199</v>
          </cell>
          <cell r="G96">
            <v>250.80999755859301</v>
          </cell>
          <cell r="H96">
            <v>253.69999694824199</v>
          </cell>
          <cell r="I96">
            <v>253.69999694824199</v>
          </cell>
          <cell r="J96">
            <v>17340200</v>
          </cell>
          <cell r="K96">
            <v>252.69999694824199</v>
          </cell>
        </row>
        <row r="97">
          <cell r="D97">
            <v>44994</v>
          </cell>
          <cell r="E97">
            <v>255.82000732421801</v>
          </cell>
          <cell r="F97">
            <v>259.55999755859301</v>
          </cell>
          <cell r="G97">
            <v>251.58000183105401</v>
          </cell>
          <cell r="H97">
            <v>252.32000732421801</v>
          </cell>
          <cell r="I97">
            <v>252.32000732421801</v>
          </cell>
          <cell r="J97">
            <v>26653400</v>
          </cell>
          <cell r="K97">
            <v>251.32000732421801</v>
          </cell>
        </row>
        <row r="98">
          <cell r="D98">
            <v>44995</v>
          </cell>
          <cell r="E98">
            <v>251.08000183105401</v>
          </cell>
          <cell r="F98">
            <v>252.78999328613199</v>
          </cell>
          <cell r="G98">
            <v>247.600006103515</v>
          </cell>
          <cell r="H98">
            <v>248.58999633789</v>
          </cell>
          <cell r="I98">
            <v>248.58999633789</v>
          </cell>
          <cell r="J98">
            <v>28333900</v>
          </cell>
          <cell r="K98">
            <v>247.58999633789</v>
          </cell>
        </row>
        <row r="99">
          <cell r="D99">
            <v>44998</v>
          </cell>
          <cell r="E99">
            <v>247.39999389648401</v>
          </cell>
          <cell r="F99">
            <v>257.91000366210898</v>
          </cell>
          <cell r="G99">
            <v>245.72999572753901</v>
          </cell>
          <cell r="H99">
            <v>253.919998168945</v>
          </cell>
          <cell r="I99">
            <v>253.919998168945</v>
          </cell>
          <cell r="J99">
            <v>33339700</v>
          </cell>
          <cell r="K99">
            <v>252.919998168945</v>
          </cell>
        </row>
        <row r="100">
          <cell r="D100">
            <v>44999</v>
          </cell>
          <cell r="E100">
            <v>256.75</v>
          </cell>
          <cell r="F100">
            <v>261.07000732421801</v>
          </cell>
          <cell r="G100">
            <v>255.86000061035099</v>
          </cell>
          <cell r="H100">
            <v>260.79000854492102</v>
          </cell>
          <cell r="I100">
            <v>260.79000854492102</v>
          </cell>
          <cell r="J100">
            <v>33620300</v>
          </cell>
          <cell r="K100">
            <v>259.79000854492102</v>
          </cell>
        </row>
        <row r="101">
          <cell r="D101">
            <v>45000</v>
          </cell>
          <cell r="E101">
            <v>259.98001098632801</v>
          </cell>
          <cell r="F101">
            <v>266.48001098632801</v>
          </cell>
          <cell r="G101">
            <v>259.20999145507801</v>
          </cell>
          <cell r="H101">
            <v>265.44000244140602</v>
          </cell>
          <cell r="I101">
            <v>265.44000244140602</v>
          </cell>
          <cell r="J101">
            <v>46028000</v>
          </cell>
          <cell r="K101">
            <v>264.44000244140602</v>
          </cell>
        </row>
        <row r="102">
          <cell r="D102">
            <v>45001</v>
          </cell>
          <cell r="E102">
            <v>265.20999145507801</v>
          </cell>
          <cell r="F102">
            <v>276.55999755859301</v>
          </cell>
          <cell r="G102">
            <v>263.27999877929602</v>
          </cell>
          <cell r="H102">
            <v>276.20001220703102</v>
          </cell>
          <cell r="I102">
            <v>276.20001220703102</v>
          </cell>
          <cell r="J102">
            <v>54768800</v>
          </cell>
          <cell r="K102">
            <v>275.20001220703102</v>
          </cell>
        </row>
        <row r="103">
          <cell r="D103">
            <v>45002</v>
          </cell>
          <cell r="E103">
            <v>278.260009765625</v>
          </cell>
          <cell r="F103">
            <v>283.329986572265</v>
          </cell>
          <cell r="G103">
            <v>276.32000732421801</v>
          </cell>
          <cell r="H103">
            <v>279.42999267578102</v>
          </cell>
          <cell r="I103">
            <v>279.42999267578102</v>
          </cell>
          <cell r="J103">
            <v>69527400</v>
          </cell>
          <cell r="K103">
            <v>278.42999267578102</v>
          </cell>
        </row>
        <row r="104">
          <cell r="D104">
            <v>45005</v>
          </cell>
          <cell r="E104">
            <v>276.98001098632801</v>
          </cell>
          <cell r="F104">
            <v>277.48001098632801</v>
          </cell>
          <cell r="G104">
            <v>269.850006103515</v>
          </cell>
          <cell r="H104">
            <v>272.23001098632801</v>
          </cell>
          <cell r="I104">
            <v>272.23001098632801</v>
          </cell>
          <cell r="J104">
            <v>43466600</v>
          </cell>
          <cell r="K104">
            <v>271.23001098632801</v>
          </cell>
        </row>
        <row r="105">
          <cell r="D105">
            <v>45006</v>
          </cell>
          <cell r="E105">
            <v>274.88000488281199</v>
          </cell>
          <cell r="F105">
            <v>275</v>
          </cell>
          <cell r="G105">
            <v>269.51998901367102</v>
          </cell>
          <cell r="H105">
            <v>273.77999877929602</v>
          </cell>
          <cell r="I105">
            <v>273.77999877929602</v>
          </cell>
          <cell r="J105">
            <v>34558700</v>
          </cell>
          <cell r="K105">
            <v>272.77999877929602</v>
          </cell>
        </row>
        <row r="106">
          <cell r="D106">
            <v>45007</v>
          </cell>
          <cell r="E106">
            <v>273.39999389648398</v>
          </cell>
          <cell r="F106">
            <v>281.04000854492102</v>
          </cell>
          <cell r="G106">
            <v>272.17999267578102</v>
          </cell>
          <cell r="H106">
            <v>272.29000854492102</v>
          </cell>
          <cell r="I106">
            <v>272.29000854492102</v>
          </cell>
          <cell r="J106">
            <v>34873300</v>
          </cell>
          <cell r="K106">
            <v>271.29000854492102</v>
          </cell>
        </row>
        <row r="107">
          <cell r="D107">
            <v>45008</v>
          </cell>
          <cell r="E107">
            <v>277.94000244140602</v>
          </cell>
          <cell r="F107">
            <v>281.05999755859301</v>
          </cell>
          <cell r="G107">
            <v>275.20001220703102</v>
          </cell>
          <cell r="H107">
            <v>277.66000366210898</v>
          </cell>
          <cell r="I107">
            <v>277.66000366210898</v>
          </cell>
          <cell r="J107">
            <v>36610900</v>
          </cell>
          <cell r="K107">
            <v>276.66000366210898</v>
          </cell>
        </row>
        <row r="108">
          <cell r="D108">
            <v>45009</v>
          </cell>
          <cell r="E108">
            <v>277.239990234375</v>
          </cell>
          <cell r="F108">
            <v>280.63000488281199</v>
          </cell>
          <cell r="G108">
            <v>275.27999877929602</v>
          </cell>
          <cell r="H108">
            <v>280.57000732421801</v>
          </cell>
          <cell r="I108">
            <v>280.57000732421801</v>
          </cell>
          <cell r="J108">
            <v>28172000</v>
          </cell>
          <cell r="K108">
            <v>279.57000732421801</v>
          </cell>
        </row>
        <row r="109">
          <cell r="D109">
            <v>45012</v>
          </cell>
          <cell r="E109">
            <v>280.5</v>
          </cell>
          <cell r="F109">
            <v>281.45999145507801</v>
          </cell>
          <cell r="G109">
            <v>275.51998901367102</v>
          </cell>
          <cell r="H109">
            <v>276.38000488281199</v>
          </cell>
          <cell r="I109">
            <v>276.38000488281199</v>
          </cell>
          <cell r="J109">
            <v>26840200</v>
          </cell>
          <cell r="K109">
            <v>275.38000488281199</v>
          </cell>
        </row>
        <row r="110">
          <cell r="D110">
            <v>45013</v>
          </cell>
          <cell r="E110">
            <v>275.79000854492102</v>
          </cell>
          <cell r="F110">
            <v>276.14001464843699</v>
          </cell>
          <cell r="G110">
            <v>272.04998779296801</v>
          </cell>
          <cell r="H110">
            <v>275.23001098632801</v>
          </cell>
          <cell r="I110">
            <v>275.23001098632801</v>
          </cell>
          <cell r="J110">
            <v>21878600</v>
          </cell>
          <cell r="K110">
            <v>274.23001098632801</v>
          </cell>
        </row>
        <row r="111">
          <cell r="D111">
            <v>45014</v>
          </cell>
          <cell r="E111">
            <v>278.95999145507801</v>
          </cell>
          <cell r="F111">
            <v>281.14001464843699</v>
          </cell>
          <cell r="G111">
            <v>278.41000366210898</v>
          </cell>
          <cell r="H111">
            <v>280.510009765625</v>
          </cell>
          <cell r="I111">
            <v>280.510009765625</v>
          </cell>
          <cell r="J111">
            <v>25087000</v>
          </cell>
          <cell r="K111">
            <v>279.510009765625</v>
          </cell>
        </row>
        <row r="112">
          <cell r="D112">
            <v>45015</v>
          </cell>
          <cell r="E112">
            <v>284.23001098632801</v>
          </cell>
          <cell r="F112">
            <v>284.45999145507801</v>
          </cell>
          <cell r="G112">
            <v>281.48001098632801</v>
          </cell>
          <cell r="H112">
            <v>284.04998779296801</v>
          </cell>
          <cell r="I112">
            <v>284.04998779296801</v>
          </cell>
          <cell r="J112">
            <v>25053400</v>
          </cell>
          <cell r="K112">
            <v>283.04998779296801</v>
          </cell>
        </row>
        <row r="113">
          <cell r="D113">
            <v>45016</v>
          </cell>
          <cell r="E113">
            <v>283.73001098632801</v>
          </cell>
          <cell r="F113">
            <v>289.26998901367102</v>
          </cell>
          <cell r="G113">
            <v>283</v>
          </cell>
          <cell r="H113">
            <v>288.29998779296801</v>
          </cell>
          <cell r="I113">
            <v>288.29998779296801</v>
          </cell>
          <cell r="J113">
            <v>32766000</v>
          </cell>
          <cell r="K113">
            <v>287.29998779296801</v>
          </cell>
        </row>
        <row r="114">
          <cell r="D114">
            <v>45019</v>
          </cell>
          <cell r="E114">
            <v>286.51998901367102</v>
          </cell>
          <cell r="F114">
            <v>288.26998901367102</v>
          </cell>
          <cell r="G114">
            <v>283.95001220703102</v>
          </cell>
          <cell r="H114">
            <v>287.23001098632801</v>
          </cell>
          <cell r="I114">
            <v>287.23001098632801</v>
          </cell>
          <cell r="J114">
            <v>24883300</v>
          </cell>
          <cell r="K114">
            <v>286.23001098632801</v>
          </cell>
        </row>
        <row r="115">
          <cell r="D115">
            <v>45020</v>
          </cell>
          <cell r="E115">
            <v>287.23001098632801</v>
          </cell>
          <cell r="F115">
            <v>290.45001220703102</v>
          </cell>
          <cell r="G115">
            <v>285.67001342773398</v>
          </cell>
          <cell r="H115">
            <v>287.17999267578102</v>
          </cell>
          <cell r="I115">
            <v>287.17999267578102</v>
          </cell>
          <cell r="J115">
            <v>25824300</v>
          </cell>
          <cell r="K115">
            <v>286.17999267578102</v>
          </cell>
        </row>
        <row r="116">
          <cell r="D116">
            <v>45021</v>
          </cell>
          <cell r="E116">
            <v>285.850006103515</v>
          </cell>
          <cell r="F116">
            <v>287.14999389648398</v>
          </cell>
          <cell r="G116">
            <v>282.92001342773398</v>
          </cell>
          <cell r="H116">
            <v>284.33999633789</v>
          </cell>
          <cell r="I116">
            <v>284.33999633789</v>
          </cell>
          <cell r="J116">
            <v>22064800</v>
          </cell>
          <cell r="K116">
            <v>283.33999633789</v>
          </cell>
        </row>
        <row r="117">
          <cell r="D117">
            <v>45022</v>
          </cell>
          <cell r="E117">
            <v>283.20999145507801</v>
          </cell>
          <cell r="F117">
            <v>292.079986572265</v>
          </cell>
          <cell r="G117">
            <v>282.02999877929602</v>
          </cell>
          <cell r="H117">
            <v>291.600006103515</v>
          </cell>
          <cell r="I117">
            <v>291.600006103515</v>
          </cell>
          <cell r="J117">
            <v>29770300</v>
          </cell>
          <cell r="K117">
            <v>290.600006103515</v>
          </cell>
        </row>
        <row r="118">
          <cell r="D118">
            <v>45026</v>
          </cell>
          <cell r="E118">
            <v>289.20999145507801</v>
          </cell>
          <cell r="F118">
            <v>289.600006103515</v>
          </cell>
          <cell r="G118">
            <v>284.70999145507801</v>
          </cell>
          <cell r="H118">
            <v>289.39001464843699</v>
          </cell>
          <cell r="I118">
            <v>289.39001464843699</v>
          </cell>
          <cell r="J118">
            <v>23103000</v>
          </cell>
          <cell r="K118">
            <v>288.39001464843699</v>
          </cell>
        </row>
        <row r="119">
          <cell r="D119">
            <v>45027</v>
          </cell>
          <cell r="E119">
            <v>285.75</v>
          </cell>
          <cell r="F119">
            <v>285.98001098632801</v>
          </cell>
          <cell r="G119">
            <v>281.64001464843699</v>
          </cell>
          <cell r="H119">
            <v>282.829986572265</v>
          </cell>
          <cell r="I119">
            <v>282.829986572265</v>
          </cell>
          <cell r="J119">
            <v>27276600</v>
          </cell>
          <cell r="K119">
            <v>281.829986572265</v>
          </cell>
        </row>
        <row r="120">
          <cell r="D120">
            <v>45028</v>
          </cell>
          <cell r="E120">
            <v>284.79000854492102</v>
          </cell>
          <cell r="F120">
            <v>287.010009765625</v>
          </cell>
          <cell r="G120">
            <v>281.95999145507801</v>
          </cell>
          <cell r="H120">
            <v>283.489990234375</v>
          </cell>
          <cell r="I120">
            <v>283.489990234375</v>
          </cell>
          <cell r="J120">
            <v>27403400</v>
          </cell>
          <cell r="K120">
            <v>282.489990234375</v>
          </cell>
        </row>
        <row r="121">
          <cell r="D121">
            <v>45029</v>
          </cell>
          <cell r="E121">
            <v>283.58999633789</v>
          </cell>
          <cell r="F121">
            <v>289.89999389648398</v>
          </cell>
          <cell r="G121">
            <v>283.17001342773398</v>
          </cell>
          <cell r="H121">
            <v>289.83999633789</v>
          </cell>
          <cell r="I121">
            <v>289.83999633789</v>
          </cell>
          <cell r="J121">
            <v>24222700</v>
          </cell>
          <cell r="K121">
            <v>288.83999633789</v>
          </cell>
        </row>
        <row r="122">
          <cell r="D122">
            <v>45030</v>
          </cell>
          <cell r="E122">
            <v>287</v>
          </cell>
          <cell r="F122">
            <v>288.48001098632801</v>
          </cell>
          <cell r="G122">
            <v>283.69000244140602</v>
          </cell>
          <cell r="H122">
            <v>286.14001464843699</v>
          </cell>
          <cell r="I122">
            <v>286.14001464843699</v>
          </cell>
          <cell r="J122">
            <v>20987900</v>
          </cell>
          <cell r="K122">
            <v>285.14001464843699</v>
          </cell>
        </row>
        <row r="123">
          <cell r="D123">
            <v>45033</v>
          </cell>
          <cell r="E123">
            <v>289.92999267578102</v>
          </cell>
          <cell r="F123">
            <v>291.600006103515</v>
          </cell>
          <cell r="G123">
            <v>286.16000366210898</v>
          </cell>
          <cell r="H123">
            <v>288.79998779296801</v>
          </cell>
          <cell r="I123">
            <v>288.79998779296801</v>
          </cell>
          <cell r="J123">
            <v>23836200</v>
          </cell>
          <cell r="K123">
            <v>287.79998779296801</v>
          </cell>
        </row>
        <row r="124">
          <cell r="D124">
            <v>45034</v>
          </cell>
          <cell r="E124">
            <v>291.57000732421801</v>
          </cell>
          <cell r="F124">
            <v>291.760009765625</v>
          </cell>
          <cell r="G124">
            <v>287.010009765625</v>
          </cell>
          <cell r="H124">
            <v>288.36999511718699</v>
          </cell>
          <cell r="I124">
            <v>288.36999511718699</v>
          </cell>
          <cell r="J124">
            <v>20161800</v>
          </cell>
          <cell r="K124">
            <v>287.36999511718699</v>
          </cell>
        </row>
        <row r="125">
          <cell r="D125">
            <v>45035</v>
          </cell>
          <cell r="E125">
            <v>285.989990234375</v>
          </cell>
          <cell r="F125">
            <v>289.04998779296801</v>
          </cell>
          <cell r="G125">
            <v>284.54000854492102</v>
          </cell>
          <cell r="H125">
            <v>288.45001220703102</v>
          </cell>
          <cell r="I125">
            <v>288.45001220703102</v>
          </cell>
          <cell r="J125">
            <v>17150300</v>
          </cell>
          <cell r="K125">
            <v>287.45001220703102</v>
          </cell>
        </row>
        <row r="126">
          <cell r="D126">
            <v>45036</v>
          </cell>
          <cell r="E126">
            <v>285.25</v>
          </cell>
          <cell r="F126">
            <v>289.02999877929602</v>
          </cell>
          <cell r="G126">
            <v>285.079986572265</v>
          </cell>
          <cell r="H126">
            <v>286.10998535156199</v>
          </cell>
          <cell r="I126">
            <v>286.10998535156199</v>
          </cell>
          <cell r="J126">
            <v>23244400</v>
          </cell>
          <cell r="K126">
            <v>285.10998535156199</v>
          </cell>
        </row>
        <row r="127">
          <cell r="D127">
            <v>45037</v>
          </cell>
          <cell r="E127">
            <v>285.010009765625</v>
          </cell>
          <cell r="F127">
            <v>286.26998901367102</v>
          </cell>
          <cell r="G127">
            <v>283.05999755859301</v>
          </cell>
          <cell r="H127">
            <v>285.760009765625</v>
          </cell>
          <cell r="I127">
            <v>285.760009765625</v>
          </cell>
          <cell r="J127">
            <v>21676400</v>
          </cell>
          <cell r="K127">
            <v>284.760009765625</v>
          </cell>
        </row>
        <row r="128">
          <cell r="D128">
            <v>45040</v>
          </cell>
          <cell r="E128">
            <v>282.08999633789</v>
          </cell>
          <cell r="F128">
            <v>284.95001220703102</v>
          </cell>
          <cell r="G128">
            <v>278.72000122070301</v>
          </cell>
          <cell r="H128">
            <v>281.76998901367102</v>
          </cell>
          <cell r="I128">
            <v>281.76998901367102</v>
          </cell>
          <cell r="J128">
            <v>26611000</v>
          </cell>
          <cell r="K128">
            <v>280.76998901367102</v>
          </cell>
        </row>
        <row r="129">
          <cell r="D129">
            <v>45041</v>
          </cell>
          <cell r="E129">
            <v>279.510009765625</v>
          </cell>
          <cell r="F129">
            <v>281.600006103515</v>
          </cell>
          <cell r="G129">
            <v>275.36999511718699</v>
          </cell>
          <cell r="H129">
            <v>275.42001342773398</v>
          </cell>
          <cell r="I129">
            <v>275.42001342773398</v>
          </cell>
          <cell r="J129">
            <v>45772200</v>
          </cell>
          <cell r="K129">
            <v>274.42001342773398</v>
          </cell>
        </row>
        <row r="130">
          <cell r="D130">
            <v>45042</v>
          </cell>
          <cell r="E130">
            <v>296.70001220703102</v>
          </cell>
          <cell r="F130">
            <v>299.57000732421801</v>
          </cell>
          <cell r="G130">
            <v>292.73001098632801</v>
          </cell>
          <cell r="H130">
            <v>295.36999511718699</v>
          </cell>
          <cell r="I130">
            <v>295.36999511718699</v>
          </cell>
          <cell r="J130">
            <v>64599200</v>
          </cell>
          <cell r="K130">
            <v>294.36999511718699</v>
          </cell>
        </row>
        <row r="131">
          <cell r="D131">
            <v>45043</v>
          </cell>
          <cell r="E131">
            <v>295.97000122070301</v>
          </cell>
          <cell r="F131">
            <v>305.20001220703102</v>
          </cell>
          <cell r="G131">
            <v>295.25</v>
          </cell>
          <cell r="H131">
            <v>304.829986572265</v>
          </cell>
          <cell r="I131">
            <v>304.829986572265</v>
          </cell>
          <cell r="J131">
            <v>46462600</v>
          </cell>
          <cell r="K131">
            <v>303.829986572265</v>
          </cell>
        </row>
        <row r="132">
          <cell r="D132">
            <v>45044</v>
          </cell>
          <cell r="E132">
            <v>304.010009765625</v>
          </cell>
          <cell r="F132">
            <v>308.92999267578102</v>
          </cell>
          <cell r="G132">
            <v>303.30999755859301</v>
          </cell>
          <cell r="H132">
            <v>307.260009765625</v>
          </cell>
          <cell r="I132">
            <v>307.260009765625</v>
          </cell>
          <cell r="J132">
            <v>36446700</v>
          </cell>
          <cell r="K132">
            <v>306.260009765625</v>
          </cell>
        </row>
        <row r="133">
          <cell r="D133">
            <v>45047</v>
          </cell>
          <cell r="E133">
            <v>306.97000122070301</v>
          </cell>
          <cell r="F133">
            <v>308.600006103515</v>
          </cell>
          <cell r="G133">
            <v>305.14999389648398</v>
          </cell>
          <cell r="H133">
            <v>305.55999755859301</v>
          </cell>
          <cell r="I133">
            <v>305.55999755859301</v>
          </cell>
          <cell r="J133">
            <v>21294100</v>
          </cell>
          <cell r="K133">
            <v>304.55999755859301</v>
          </cell>
        </row>
        <row r="134">
          <cell r="D134">
            <v>45048</v>
          </cell>
          <cell r="E134">
            <v>307.760009765625</v>
          </cell>
          <cell r="F134">
            <v>309.17999267578102</v>
          </cell>
          <cell r="G134">
            <v>303.91000366210898</v>
          </cell>
          <cell r="H134">
            <v>305.41000366210898</v>
          </cell>
          <cell r="I134">
            <v>305.41000366210898</v>
          </cell>
          <cell r="J134">
            <v>26404400</v>
          </cell>
          <cell r="K134">
            <v>304.41000366210898</v>
          </cell>
        </row>
        <row r="135">
          <cell r="D135">
            <v>45049</v>
          </cell>
          <cell r="E135">
            <v>306.61999511718699</v>
          </cell>
          <cell r="F135">
            <v>308.60998535156199</v>
          </cell>
          <cell r="G135">
            <v>304.08999633789</v>
          </cell>
          <cell r="H135">
            <v>304.39999389648398</v>
          </cell>
          <cell r="I135">
            <v>304.39999389648398</v>
          </cell>
          <cell r="J135">
            <v>22360800</v>
          </cell>
          <cell r="K135">
            <v>303.39999389648398</v>
          </cell>
        </row>
        <row r="136">
          <cell r="D136">
            <v>45050</v>
          </cell>
          <cell r="E136">
            <v>306.239990234375</v>
          </cell>
          <cell r="F136">
            <v>307.760009765625</v>
          </cell>
          <cell r="G136">
            <v>303.39999389648398</v>
          </cell>
          <cell r="H136">
            <v>305.41000366210898</v>
          </cell>
          <cell r="I136">
            <v>305.41000366210898</v>
          </cell>
          <cell r="J136">
            <v>22519900</v>
          </cell>
          <cell r="K136">
            <v>304.41000366210898</v>
          </cell>
        </row>
        <row r="137">
          <cell r="D137">
            <v>45051</v>
          </cell>
          <cell r="E137">
            <v>305.72000122070301</v>
          </cell>
          <cell r="F137">
            <v>311.97000122070301</v>
          </cell>
          <cell r="G137">
            <v>304.26998901367102</v>
          </cell>
          <cell r="H137">
            <v>310.64999389648398</v>
          </cell>
          <cell r="I137">
            <v>310.64999389648398</v>
          </cell>
          <cell r="J137">
            <v>28181200</v>
          </cell>
          <cell r="K137">
            <v>309.64999389648398</v>
          </cell>
        </row>
        <row r="140">
          <cell r="E140" t="str">
            <v>Open</v>
          </cell>
          <cell r="F140" t="str">
            <v>High</v>
          </cell>
          <cell r="G140" t="str">
            <v>Low</v>
          </cell>
          <cell r="H140" t="str">
            <v>Close</v>
          </cell>
          <cell r="I140" t="str">
            <v>Adj Close</v>
          </cell>
        </row>
        <row r="142">
          <cell r="E142">
            <v>358.510009765625</v>
          </cell>
          <cell r="F142">
            <v>364.17999267578102</v>
          </cell>
          <cell r="G142">
            <v>354.17999267578102</v>
          </cell>
          <cell r="H142">
            <v>362.95001220703102</v>
          </cell>
          <cell r="I142">
            <v>362.95001220703102</v>
          </cell>
          <cell r="J142">
            <v>6289400</v>
          </cell>
        </row>
        <row r="143">
          <cell r="D143">
            <v>44965</v>
          </cell>
          <cell r="E143">
            <v>360.01998901367102</v>
          </cell>
          <cell r="F143">
            <v>368.19000244140602</v>
          </cell>
          <cell r="G143">
            <v>358.30999755859301</v>
          </cell>
          <cell r="H143">
            <v>366.829986572265</v>
          </cell>
          <cell r="I143">
            <v>366.829986572265</v>
          </cell>
          <cell r="J143">
            <v>6253200</v>
          </cell>
          <cell r="K143">
            <v>365.829986572265</v>
          </cell>
        </row>
        <row r="144">
          <cell r="D144">
            <v>44966</v>
          </cell>
          <cell r="E144">
            <v>372.41000366210898</v>
          </cell>
          <cell r="F144">
            <v>373.829986572265</v>
          </cell>
          <cell r="G144">
            <v>361.739990234375</v>
          </cell>
          <cell r="H144">
            <v>362.5</v>
          </cell>
          <cell r="I144">
            <v>362.5</v>
          </cell>
          <cell r="J144">
            <v>6901100</v>
          </cell>
          <cell r="K144">
            <v>361.5</v>
          </cell>
        </row>
        <row r="145">
          <cell r="D145">
            <v>44967</v>
          </cell>
          <cell r="E145">
            <v>359.16000366210898</v>
          </cell>
          <cell r="F145">
            <v>362.14001464843699</v>
          </cell>
          <cell r="G145">
            <v>347.14001464843699</v>
          </cell>
          <cell r="H145">
            <v>347.35998535156199</v>
          </cell>
          <cell r="I145">
            <v>347.35998535156199</v>
          </cell>
          <cell r="J145">
            <v>7291100</v>
          </cell>
          <cell r="K145">
            <v>346.35998535156199</v>
          </cell>
        </row>
        <row r="146">
          <cell r="D146">
            <v>44970</v>
          </cell>
          <cell r="E146">
            <v>349.5</v>
          </cell>
          <cell r="F146">
            <v>359.70001220703102</v>
          </cell>
          <cell r="G146">
            <v>344.25</v>
          </cell>
          <cell r="H146">
            <v>358.57000732421801</v>
          </cell>
          <cell r="I146">
            <v>358.57000732421801</v>
          </cell>
          <cell r="J146">
            <v>7134400</v>
          </cell>
          <cell r="K146">
            <v>357.57000732421801</v>
          </cell>
        </row>
        <row r="147">
          <cell r="D147">
            <v>44971</v>
          </cell>
          <cell r="E147">
            <v>357.54998779296801</v>
          </cell>
          <cell r="F147">
            <v>363.75</v>
          </cell>
          <cell r="G147">
            <v>353.39999389648398</v>
          </cell>
          <cell r="H147">
            <v>359.95999145507801</v>
          </cell>
          <cell r="I147">
            <v>359.95999145507801</v>
          </cell>
          <cell r="J147">
            <v>4624800</v>
          </cell>
          <cell r="K147">
            <v>358.95999145507801</v>
          </cell>
        </row>
        <row r="148">
          <cell r="D148">
            <v>44972</v>
          </cell>
          <cell r="E148">
            <v>356.63000488281199</v>
          </cell>
          <cell r="F148">
            <v>362.88000488281199</v>
          </cell>
          <cell r="G148">
            <v>354.239990234375</v>
          </cell>
          <cell r="H148">
            <v>361.42001342773398</v>
          </cell>
          <cell r="I148">
            <v>361.42001342773398</v>
          </cell>
          <cell r="J148">
            <v>3966000</v>
          </cell>
          <cell r="K148">
            <v>360.42001342773398</v>
          </cell>
        </row>
        <row r="149">
          <cell r="D149">
            <v>44973</v>
          </cell>
          <cell r="E149">
            <v>355</v>
          </cell>
          <cell r="F149">
            <v>361.5</v>
          </cell>
          <cell r="G149">
            <v>350.30999755859301</v>
          </cell>
          <cell r="H149">
            <v>350.70999145507801</v>
          </cell>
          <cell r="I149">
            <v>350.70999145507801</v>
          </cell>
          <cell r="J149">
            <v>5215700</v>
          </cell>
          <cell r="K149">
            <v>349.70999145507801</v>
          </cell>
        </row>
        <row r="150">
          <cell r="D150">
            <v>44974</v>
          </cell>
          <cell r="E150">
            <v>347.91000366210898</v>
          </cell>
          <cell r="F150">
            <v>349</v>
          </cell>
          <cell r="G150">
            <v>342.44000244140602</v>
          </cell>
          <cell r="H150">
            <v>347.95999145507801</v>
          </cell>
          <cell r="I150">
            <v>347.95999145507801</v>
          </cell>
          <cell r="J150">
            <v>5294700</v>
          </cell>
          <cell r="K150">
            <v>346.95999145507801</v>
          </cell>
        </row>
        <row r="151">
          <cell r="D151">
            <v>44978</v>
          </cell>
          <cell r="E151">
            <v>342.850006103515</v>
          </cell>
          <cell r="F151">
            <v>344.13000488281199</v>
          </cell>
          <cell r="G151">
            <v>336.42001342773398</v>
          </cell>
          <cell r="H151">
            <v>337.5</v>
          </cell>
          <cell r="I151">
            <v>337.5</v>
          </cell>
          <cell r="J151">
            <v>5710300</v>
          </cell>
          <cell r="K151">
            <v>336.5</v>
          </cell>
        </row>
        <row r="152">
          <cell r="D152">
            <v>44979</v>
          </cell>
          <cell r="E152">
            <v>337.5</v>
          </cell>
          <cell r="F152">
            <v>341.91000366210898</v>
          </cell>
          <cell r="G152">
            <v>332.82000732421801</v>
          </cell>
          <cell r="H152">
            <v>334.88000488281199</v>
          </cell>
          <cell r="I152">
            <v>334.88000488281199</v>
          </cell>
          <cell r="J152">
            <v>4546200</v>
          </cell>
          <cell r="K152">
            <v>333.88000488281199</v>
          </cell>
        </row>
        <row r="153">
          <cell r="D153">
            <v>44980</v>
          </cell>
          <cell r="E153">
            <v>331.23001098632801</v>
          </cell>
          <cell r="F153">
            <v>331.27999877929602</v>
          </cell>
          <cell r="G153">
            <v>314.29998779296801</v>
          </cell>
          <cell r="H153">
            <v>323.64999389648398</v>
          </cell>
          <cell r="I153">
            <v>323.64999389648398</v>
          </cell>
          <cell r="J153">
            <v>13238700</v>
          </cell>
          <cell r="K153">
            <v>322.64999389648398</v>
          </cell>
        </row>
        <row r="154">
          <cell r="D154">
            <v>44981</v>
          </cell>
          <cell r="E154">
            <v>319.29998779296801</v>
          </cell>
          <cell r="F154">
            <v>321.5</v>
          </cell>
          <cell r="G154">
            <v>314.51998901367102</v>
          </cell>
          <cell r="H154">
            <v>317.14999389648398</v>
          </cell>
          <cell r="I154">
            <v>317.14999389648398</v>
          </cell>
          <cell r="J154">
            <v>6830700</v>
          </cell>
          <cell r="K154">
            <v>316.14999389648398</v>
          </cell>
        </row>
        <row r="155">
          <cell r="D155">
            <v>44984</v>
          </cell>
          <cell r="E155">
            <v>323.86999511718699</v>
          </cell>
          <cell r="F155">
            <v>330</v>
          </cell>
          <cell r="G155">
            <v>322.11999511718699</v>
          </cell>
          <cell r="H155">
            <v>323.02999877929602</v>
          </cell>
          <cell r="I155">
            <v>323.02999877929602</v>
          </cell>
          <cell r="J155">
            <v>6142600</v>
          </cell>
          <cell r="K155">
            <v>322.02999877929602</v>
          </cell>
        </row>
        <row r="156">
          <cell r="D156">
            <v>44985</v>
          </cell>
          <cell r="E156">
            <v>323.70001220703102</v>
          </cell>
          <cell r="F156">
            <v>327.61999511718699</v>
          </cell>
          <cell r="G156">
            <v>321.17001342773398</v>
          </cell>
          <cell r="H156">
            <v>322.13000488281199</v>
          </cell>
          <cell r="I156">
            <v>322.13000488281199</v>
          </cell>
          <cell r="J156">
            <v>3676100</v>
          </cell>
          <cell r="K156">
            <v>321.13000488281199</v>
          </cell>
        </row>
        <row r="157">
          <cell r="D157">
            <v>44986</v>
          </cell>
          <cell r="E157">
            <v>321.54998779296801</v>
          </cell>
          <cell r="F157">
            <v>326.600006103515</v>
          </cell>
          <cell r="G157">
            <v>312.35998535156199</v>
          </cell>
          <cell r="H157">
            <v>313.48001098632801</v>
          </cell>
          <cell r="I157">
            <v>313.48001098632801</v>
          </cell>
          <cell r="J157">
            <v>4911300</v>
          </cell>
          <cell r="K157">
            <v>312.48001098632801</v>
          </cell>
        </row>
        <row r="158">
          <cell r="D158">
            <v>44987</v>
          </cell>
          <cell r="E158">
            <v>310.95999145507801</v>
          </cell>
          <cell r="F158">
            <v>315.57000732421801</v>
          </cell>
          <cell r="G158">
            <v>310.38000488281199</v>
          </cell>
          <cell r="H158">
            <v>311.88000488281199</v>
          </cell>
          <cell r="I158">
            <v>311.88000488281199</v>
          </cell>
          <cell r="J158">
            <v>4911000</v>
          </cell>
          <cell r="K158">
            <v>310.88000488281199</v>
          </cell>
        </row>
        <row r="159">
          <cell r="D159">
            <v>44988</v>
          </cell>
          <cell r="E159">
            <v>315.45001220703102</v>
          </cell>
          <cell r="F159">
            <v>317.489990234375</v>
          </cell>
          <cell r="G159">
            <v>310.82000732421801</v>
          </cell>
          <cell r="H159">
            <v>315.17999267578102</v>
          </cell>
          <cell r="I159">
            <v>315.17999267578102</v>
          </cell>
          <cell r="J159">
            <v>5953300</v>
          </cell>
          <cell r="K159">
            <v>314.17999267578102</v>
          </cell>
        </row>
        <row r="160">
          <cell r="D160">
            <v>44991</v>
          </cell>
          <cell r="E160">
            <v>317</v>
          </cell>
          <cell r="F160">
            <v>323.29998779296801</v>
          </cell>
          <cell r="G160">
            <v>311.83999633789</v>
          </cell>
          <cell r="H160">
            <v>312.02999877929602</v>
          </cell>
          <cell r="I160">
            <v>312.02999877929602</v>
          </cell>
          <cell r="J160">
            <v>5660700</v>
          </cell>
          <cell r="K160">
            <v>311.02999877929602</v>
          </cell>
        </row>
        <row r="161">
          <cell r="D161">
            <v>44992</v>
          </cell>
          <cell r="E161">
            <v>312.67999267578102</v>
          </cell>
          <cell r="F161">
            <v>314.29998779296801</v>
          </cell>
          <cell r="G161">
            <v>306.61999511718699</v>
          </cell>
          <cell r="H161">
            <v>308.47000122070301</v>
          </cell>
          <cell r="I161">
            <v>308.47000122070301</v>
          </cell>
          <cell r="J161">
            <v>4553100</v>
          </cell>
          <cell r="K161">
            <v>307.47000122070301</v>
          </cell>
        </row>
        <row r="162">
          <cell r="D162">
            <v>44993</v>
          </cell>
          <cell r="E162">
            <v>309.29000854492102</v>
          </cell>
          <cell r="F162">
            <v>311.829986572265</v>
          </cell>
          <cell r="G162">
            <v>305.75</v>
          </cell>
          <cell r="H162">
            <v>311.79000854492102</v>
          </cell>
          <cell r="I162">
            <v>311.79000854492102</v>
          </cell>
          <cell r="J162">
            <v>3479500</v>
          </cell>
          <cell r="K162">
            <v>310.79000854492102</v>
          </cell>
        </row>
        <row r="163">
          <cell r="D163">
            <v>44994</v>
          </cell>
          <cell r="E163">
            <v>312.079986572265</v>
          </cell>
          <cell r="F163">
            <v>312.510009765625</v>
          </cell>
          <cell r="G163">
            <v>294.88000488281199</v>
          </cell>
          <cell r="H163">
            <v>297.77999877929602</v>
          </cell>
          <cell r="I163">
            <v>297.77999877929602</v>
          </cell>
          <cell r="J163">
            <v>7443400</v>
          </cell>
          <cell r="K163">
            <v>296.77999877929602</v>
          </cell>
        </row>
        <row r="164">
          <cell r="D164">
            <v>44995</v>
          </cell>
          <cell r="E164">
            <v>297.89999389648398</v>
          </cell>
          <cell r="F164">
            <v>298.79000854492102</v>
          </cell>
          <cell r="G164">
            <v>289</v>
          </cell>
          <cell r="H164">
            <v>292.760009765625</v>
          </cell>
          <cell r="I164">
            <v>292.760009765625</v>
          </cell>
          <cell r="J164">
            <v>5759300</v>
          </cell>
          <cell r="K164">
            <v>291.760009765625</v>
          </cell>
        </row>
        <row r="165">
          <cell r="D165">
            <v>44998</v>
          </cell>
          <cell r="E165">
            <v>287.33999633789</v>
          </cell>
          <cell r="F165">
            <v>299.239990234375</v>
          </cell>
          <cell r="G165">
            <v>285.329986572265</v>
          </cell>
          <cell r="H165">
            <v>293.510009765625</v>
          </cell>
          <cell r="I165">
            <v>293.510009765625</v>
          </cell>
          <cell r="J165">
            <v>6292400</v>
          </cell>
          <cell r="K165">
            <v>292.510009765625</v>
          </cell>
        </row>
        <row r="166">
          <cell r="D166">
            <v>44999</v>
          </cell>
          <cell r="E166">
            <v>295.97000122070301</v>
          </cell>
          <cell r="F166">
            <v>297.45001220703102</v>
          </cell>
          <cell r="G166">
            <v>290.30999755859301</v>
          </cell>
          <cell r="H166">
            <v>294.94000244140602</v>
          </cell>
          <cell r="I166">
            <v>294.94000244140602</v>
          </cell>
          <cell r="J166">
            <v>5956700</v>
          </cell>
          <cell r="K166">
            <v>293.94000244140602</v>
          </cell>
        </row>
        <row r="167">
          <cell r="D167">
            <v>45000</v>
          </cell>
          <cell r="E167">
            <v>292.510009765625</v>
          </cell>
          <cell r="F167">
            <v>306.30999755859301</v>
          </cell>
          <cell r="G167">
            <v>292.27999877929602</v>
          </cell>
          <cell r="H167">
            <v>303.79000854492102</v>
          </cell>
          <cell r="I167">
            <v>303.79000854492102</v>
          </cell>
          <cell r="J167">
            <v>9215300</v>
          </cell>
          <cell r="K167">
            <v>302.79000854492102</v>
          </cell>
        </row>
        <row r="168">
          <cell r="D168">
            <v>45001</v>
          </cell>
          <cell r="E168">
            <v>304.75</v>
          </cell>
          <cell r="F168">
            <v>316.600006103515</v>
          </cell>
          <cell r="G168">
            <v>301.70999145507801</v>
          </cell>
          <cell r="H168">
            <v>310.05999755859301</v>
          </cell>
          <cell r="I168">
            <v>310.05999755859301</v>
          </cell>
          <cell r="J168">
            <v>7903700</v>
          </cell>
          <cell r="K168">
            <v>309.05999755859301</v>
          </cell>
        </row>
        <row r="169">
          <cell r="D169">
            <v>45002</v>
          </cell>
          <cell r="E169">
            <v>310.05999755859301</v>
          </cell>
          <cell r="F169">
            <v>310.760009765625</v>
          </cell>
          <cell r="G169">
            <v>300</v>
          </cell>
          <cell r="H169">
            <v>303.5</v>
          </cell>
          <cell r="I169">
            <v>303.5</v>
          </cell>
          <cell r="J169">
            <v>6918800</v>
          </cell>
          <cell r="K169">
            <v>302.5</v>
          </cell>
        </row>
        <row r="170">
          <cell r="D170">
            <v>45005</v>
          </cell>
          <cell r="E170">
            <v>299.79000854492102</v>
          </cell>
          <cell r="F170">
            <v>307.5</v>
          </cell>
          <cell r="G170">
            <v>296</v>
          </cell>
          <cell r="H170">
            <v>305.13000488281199</v>
          </cell>
          <cell r="I170">
            <v>305.13000488281199</v>
          </cell>
          <cell r="J170">
            <v>5113400</v>
          </cell>
          <cell r="K170">
            <v>304.13000488281199</v>
          </cell>
        </row>
        <row r="171">
          <cell r="D171">
            <v>45006</v>
          </cell>
          <cell r="E171">
            <v>306.32000732421801</v>
          </cell>
          <cell r="F171">
            <v>307.92001342773398</v>
          </cell>
          <cell r="G171">
            <v>300.42999267578102</v>
          </cell>
          <cell r="H171">
            <v>305.79000854492102</v>
          </cell>
          <cell r="I171">
            <v>305.79000854492102</v>
          </cell>
          <cell r="J171">
            <v>4886300</v>
          </cell>
          <cell r="K171">
            <v>304.79000854492102</v>
          </cell>
        </row>
        <row r="172">
          <cell r="D172">
            <v>45007</v>
          </cell>
          <cell r="E172">
            <v>306.30999755859301</v>
          </cell>
          <cell r="F172">
            <v>306.45001220703102</v>
          </cell>
          <cell r="G172">
            <v>293.54000854492102</v>
          </cell>
          <cell r="H172">
            <v>293.89999389648398</v>
          </cell>
          <cell r="I172">
            <v>293.89999389648398</v>
          </cell>
          <cell r="J172">
            <v>5808000</v>
          </cell>
          <cell r="K172">
            <v>292.89999389648398</v>
          </cell>
        </row>
        <row r="173">
          <cell r="D173">
            <v>45008</v>
          </cell>
          <cell r="E173">
            <v>304.67999267578102</v>
          </cell>
          <cell r="F173">
            <v>322.77999877929602</v>
          </cell>
          <cell r="G173">
            <v>304.14001464843699</v>
          </cell>
          <cell r="H173">
            <v>320.36999511718699</v>
          </cell>
          <cell r="I173">
            <v>320.36999511718699</v>
          </cell>
          <cell r="J173">
            <v>15653300</v>
          </cell>
          <cell r="K173">
            <v>319.36999511718699</v>
          </cell>
        </row>
        <row r="174">
          <cell r="D174">
            <v>45009</v>
          </cell>
          <cell r="E174">
            <v>320.63000488281199</v>
          </cell>
          <cell r="F174">
            <v>331.829986572265</v>
          </cell>
          <cell r="G174">
            <v>320.63000488281199</v>
          </cell>
          <cell r="H174">
            <v>328.39001464843699</v>
          </cell>
          <cell r="I174">
            <v>328.39001464843699</v>
          </cell>
          <cell r="J174">
            <v>12991700</v>
          </cell>
          <cell r="K174">
            <v>327.39001464843699</v>
          </cell>
        </row>
        <row r="175">
          <cell r="D175">
            <v>45012</v>
          </cell>
          <cell r="E175">
            <v>327.54998779296801</v>
          </cell>
          <cell r="F175">
            <v>336.44000244140602</v>
          </cell>
          <cell r="G175">
            <v>324.41000366210898</v>
          </cell>
          <cell r="H175">
            <v>327.66000366210898</v>
          </cell>
          <cell r="I175">
            <v>327.66000366210898</v>
          </cell>
          <cell r="J175">
            <v>8625800</v>
          </cell>
          <cell r="K175">
            <v>326.66000366210898</v>
          </cell>
        </row>
        <row r="176">
          <cell r="D176">
            <v>45013</v>
          </cell>
          <cell r="E176">
            <v>326.05999755859301</v>
          </cell>
          <cell r="F176">
            <v>333.32000732421801</v>
          </cell>
          <cell r="G176">
            <v>321.27999877929602</v>
          </cell>
          <cell r="H176">
            <v>323.51998901367102</v>
          </cell>
          <cell r="I176">
            <v>323.51998901367102</v>
          </cell>
          <cell r="J176">
            <v>6489400</v>
          </cell>
          <cell r="K176">
            <v>322.51998901367102</v>
          </cell>
        </row>
        <row r="177">
          <cell r="D177">
            <v>45014</v>
          </cell>
          <cell r="E177">
            <v>326.29000854492102</v>
          </cell>
          <cell r="F177">
            <v>332.850006103515</v>
          </cell>
          <cell r="G177">
            <v>325.73001098632801</v>
          </cell>
          <cell r="H177">
            <v>332.02999877929602</v>
          </cell>
          <cell r="I177">
            <v>332.02999877929602</v>
          </cell>
          <cell r="J177">
            <v>6287300</v>
          </cell>
          <cell r="K177">
            <v>331.02999877929602</v>
          </cell>
        </row>
        <row r="178">
          <cell r="D178">
            <v>45015</v>
          </cell>
          <cell r="E178">
            <v>340.26998901367102</v>
          </cell>
          <cell r="F178">
            <v>343.29000854492102</v>
          </cell>
          <cell r="G178">
            <v>335.29998779296801</v>
          </cell>
          <cell r="H178">
            <v>338.42999267578102</v>
          </cell>
          <cell r="I178">
            <v>338.42999267578102</v>
          </cell>
          <cell r="J178">
            <v>7131500</v>
          </cell>
          <cell r="K178">
            <v>337.42999267578102</v>
          </cell>
        </row>
        <row r="179">
          <cell r="D179">
            <v>45016</v>
          </cell>
          <cell r="E179">
            <v>340.04998779296801</v>
          </cell>
          <cell r="F179">
            <v>345.83999633789</v>
          </cell>
          <cell r="G179">
            <v>337.20001220703102</v>
          </cell>
          <cell r="H179">
            <v>345.48001098632801</v>
          </cell>
          <cell r="I179">
            <v>345.48001098632801</v>
          </cell>
          <cell r="J179">
            <v>5610200</v>
          </cell>
          <cell r="K179">
            <v>344.48001098632801</v>
          </cell>
        </row>
        <row r="180">
          <cell r="D180">
            <v>45019</v>
          </cell>
          <cell r="E180">
            <v>341.829986572265</v>
          </cell>
          <cell r="F180">
            <v>348.579986572265</v>
          </cell>
          <cell r="G180">
            <v>340.39999389648398</v>
          </cell>
          <cell r="H180">
            <v>348.27999877929602</v>
          </cell>
          <cell r="I180">
            <v>348.27999877929602</v>
          </cell>
          <cell r="J180">
            <v>4413700</v>
          </cell>
          <cell r="K180">
            <v>347.27999877929602</v>
          </cell>
        </row>
        <row r="181">
          <cell r="D181">
            <v>45020</v>
          </cell>
          <cell r="E181">
            <v>348.489990234375</v>
          </cell>
          <cell r="F181">
            <v>349.79998779296801</v>
          </cell>
          <cell r="G181">
            <v>343.95001220703102</v>
          </cell>
          <cell r="H181">
            <v>346.75</v>
          </cell>
          <cell r="I181">
            <v>346.75</v>
          </cell>
          <cell r="J181">
            <v>3298100</v>
          </cell>
          <cell r="K181">
            <v>345.75</v>
          </cell>
        </row>
        <row r="182">
          <cell r="D182">
            <v>45021</v>
          </cell>
          <cell r="E182">
            <v>345.29998779296801</v>
          </cell>
          <cell r="F182">
            <v>345.42999267578102</v>
          </cell>
          <cell r="G182">
            <v>336.25</v>
          </cell>
          <cell r="H182">
            <v>342.350006103515</v>
          </cell>
          <cell r="I182">
            <v>342.350006103515</v>
          </cell>
          <cell r="J182">
            <v>4205500</v>
          </cell>
          <cell r="K182">
            <v>341.350006103515</v>
          </cell>
        </row>
        <row r="183">
          <cell r="D183">
            <v>45022</v>
          </cell>
          <cell r="E183">
            <v>339.33999633789</v>
          </cell>
          <cell r="F183">
            <v>340.48001098632801</v>
          </cell>
          <cell r="G183">
            <v>332.63000488281199</v>
          </cell>
          <cell r="H183">
            <v>339.329986572265</v>
          </cell>
          <cell r="I183">
            <v>339.329986572265</v>
          </cell>
          <cell r="J183">
            <v>4660500</v>
          </cell>
          <cell r="K183">
            <v>338.329986572265</v>
          </cell>
        </row>
        <row r="184">
          <cell r="D184">
            <v>45026</v>
          </cell>
          <cell r="E184">
            <v>335.26998901367102</v>
          </cell>
          <cell r="F184">
            <v>339.88000488281199</v>
          </cell>
          <cell r="G184">
            <v>333.35998535156199</v>
          </cell>
          <cell r="H184">
            <v>338.989990234375</v>
          </cell>
          <cell r="I184">
            <v>338.989990234375</v>
          </cell>
          <cell r="J184">
            <v>2657900</v>
          </cell>
          <cell r="K184">
            <v>337.989990234375</v>
          </cell>
        </row>
        <row r="185">
          <cell r="D185">
            <v>45027</v>
          </cell>
          <cell r="E185">
            <v>343.45001220703102</v>
          </cell>
          <cell r="F185">
            <v>347.14001464843699</v>
          </cell>
          <cell r="G185">
            <v>337.64001464843699</v>
          </cell>
          <cell r="H185">
            <v>338.20999145507801</v>
          </cell>
          <cell r="I185">
            <v>338.20999145507801</v>
          </cell>
          <cell r="J185">
            <v>4044800</v>
          </cell>
          <cell r="K185">
            <v>337.20999145507801</v>
          </cell>
        </row>
        <row r="186">
          <cell r="D186">
            <v>45028</v>
          </cell>
          <cell r="E186">
            <v>340.80999755859301</v>
          </cell>
          <cell r="F186">
            <v>342.79998779296801</v>
          </cell>
          <cell r="G186">
            <v>330.04000854492102</v>
          </cell>
          <cell r="H186">
            <v>331.02999877929602</v>
          </cell>
          <cell r="I186">
            <v>331.02999877929602</v>
          </cell>
          <cell r="J186">
            <v>3965400</v>
          </cell>
          <cell r="K186">
            <v>330.02999877929602</v>
          </cell>
        </row>
        <row r="187">
          <cell r="D187">
            <v>45029</v>
          </cell>
          <cell r="E187">
            <v>339.989990234375</v>
          </cell>
          <cell r="F187">
            <v>346.42999267578102</v>
          </cell>
          <cell r="G187">
            <v>338.75</v>
          </cell>
          <cell r="H187">
            <v>346.19000244140602</v>
          </cell>
          <cell r="I187">
            <v>346.19000244140602</v>
          </cell>
          <cell r="J187">
            <v>7406400</v>
          </cell>
          <cell r="K187">
            <v>345.19000244140602</v>
          </cell>
        </row>
        <row r="188">
          <cell r="D188">
            <v>45030</v>
          </cell>
          <cell r="E188">
            <v>342.94000244140602</v>
          </cell>
          <cell r="F188">
            <v>344.850006103515</v>
          </cell>
          <cell r="G188">
            <v>336.41000366210898</v>
          </cell>
          <cell r="H188">
            <v>338.63000488281199</v>
          </cell>
          <cell r="I188">
            <v>338.63000488281199</v>
          </cell>
          <cell r="J188">
            <v>5350500</v>
          </cell>
          <cell r="K188">
            <v>337.63000488281199</v>
          </cell>
        </row>
        <row r="189">
          <cell r="D189">
            <v>45033</v>
          </cell>
          <cell r="E189">
            <v>338</v>
          </cell>
          <cell r="F189">
            <v>338.39001464843699</v>
          </cell>
          <cell r="G189">
            <v>327.5</v>
          </cell>
          <cell r="H189">
            <v>332.72000122070301</v>
          </cell>
          <cell r="I189">
            <v>332.72000122070301</v>
          </cell>
          <cell r="J189">
            <v>6136000</v>
          </cell>
          <cell r="K189">
            <v>331.72000122070301</v>
          </cell>
        </row>
        <row r="190">
          <cell r="D190">
            <v>45034</v>
          </cell>
          <cell r="E190">
            <v>335</v>
          </cell>
          <cell r="F190">
            <v>337.19000244140602</v>
          </cell>
          <cell r="G190">
            <v>330.5</v>
          </cell>
          <cell r="H190">
            <v>333.70001220703102</v>
          </cell>
          <cell r="I190">
            <v>333.70001220703102</v>
          </cell>
          <cell r="J190">
            <v>17944500</v>
          </cell>
          <cell r="K190">
            <v>332.70001220703102</v>
          </cell>
        </row>
        <row r="191">
          <cell r="D191">
            <v>45035</v>
          </cell>
          <cell r="E191">
            <v>324.20999145507801</v>
          </cell>
          <cell r="F191">
            <v>325.75</v>
          </cell>
          <cell r="G191">
            <v>316.100006103515</v>
          </cell>
          <cell r="H191">
            <v>323.11999511718699</v>
          </cell>
          <cell r="I191">
            <v>323.11999511718699</v>
          </cell>
          <cell r="J191">
            <v>22128300</v>
          </cell>
          <cell r="K191">
            <v>322.11999511718699</v>
          </cell>
        </row>
        <row r="192">
          <cell r="D192">
            <v>45036</v>
          </cell>
          <cell r="E192">
            <v>320.39001464843699</v>
          </cell>
          <cell r="F192">
            <v>331.42999267578102</v>
          </cell>
          <cell r="G192">
            <v>318.329986572265</v>
          </cell>
          <cell r="H192">
            <v>325.350006103515</v>
          </cell>
          <cell r="I192">
            <v>325.350006103515</v>
          </cell>
          <cell r="J192">
            <v>9947800</v>
          </cell>
          <cell r="K192">
            <v>324.350006103515</v>
          </cell>
        </row>
        <row r="193">
          <cell r="D193">
            <v>45037</v>
          </cell>
          <cell r="E193">
            <v>323</v>
          </cell>
          <cell r="F193">
            <v>328.29000854492102</v>
          </cell>
          <cell r="G193">
            <v>319.5</v>
          </cell>
          <cell r="H193">
            <v>327.98001098632801</v>
          </cell>
          <cell r="I193">
            <v>327.98001098632801</v>
          </cell>
          <cell r="J193">
            <v>6348000</v>
          </cell>
          <cell r="K193">
            <v>326.98001098632801</v>
          </cell>
        </row>
        <row r="194">
          <cell r="D194">
            <v>45040</v>
          </cell>
          <cell r="E194">
            <v>330.20001220703102</v>
          </cell>
          <cell r="F194">
            <v>334.66000366210898</v>
          </cell>
          <cell r="G194">
            <v>326.75</v>
          </cell>
          <cell r="H194">
            <v>329.01998901367102</v>
          </cell>
          <cell r="I194">
            <v>329.01998901367102</v>
          </cell>
          <cell r="J194">
            <v>5586600</v>
          </cell>
          <cell r="K194">
            <v>328.01998901367102</v>
          </cell>
        </row>
        <row r="195">
          <cell r="D195">
            <v>45041</v>
          </cell>
          <cell r="E195">
            <v>328.5</v>
          </cell>
          <cell r="F195">
            <v>328.66000366210898</v>
          </cell>
          <cell r="G195">
            <v>321.100006103515</v>
          </cell>
          <cell r="H195">
            <v>322.54998779296801</v>
          </cell>
          <cell r="I195">
            <v>322.54998779296801</v>
          </cell>
          <cell r="J195">
            <v>5426600</v>
          </cell>
          <cell r="K195">
            <v>321.54998779296801</v>
          </cell>
        </row>
        <row r="196">
          <cell r="D196">
            <v>45042</v>
          </cell>
          <cell r="E196">
            <v>321.35998535156199</v>
          </cell>
          <cell r="F196">
            <v>325.89999389648398</v>
          </cell>
          <cell r="G196">
            <v>320.47000122070301</v>
          </cell>
          <cell r="H196">
            <v>321.14999389648398</v>
          </cell>
          <cell r="I196">
            <v>321.14999389648398</v>
          </cell>
          <cell r="J196">
            <v>4623200</v>
          </cell>
          <cell r="K196">
            <v>320.14999389648398</v>
          </cell>
        </row>
        <row r="197">
          <cell r="D197">
            <v>45043</v>
          </cell>
          <cell r="E197">
            <v>324.29998779296801</v>
          </cell>
          <cell r="F197">
            <v>327.45001220703102</v>
          </cell>
          <cell r="G197">
            <v>317.44000244140602</v>
          </cell>
          <cell r="H197">
            <v>325.850006103515</v>
          </cell>
          <cell r="I197">
            <v>325.850006103515</v>
          </cell>
          <cell r="J197">
            <v>5618800</v>
          </cell>
          <cell r="K197">
            <v>324.850006103515</v>
          </cell>
        </row>
        <row r="198">
          <cell r="D198">
            <v>45044</v>
          </cell>
          <cell r="E198">
            <v>325.239990234375</v>
          </cell>
          <cell r="F198">
            <v>330.80999755859301</v>
          </cell>
          <cell r="G198">
            <v>324</v>
          </cell>
          <cell r="H198">
            <v>329.92999267578102</v>
          </cell>
          <cell r="I198">
            <v>329.92999267578102</v>
          </cell>
          <cell r="J198">
            <v>4221900</v>
          </cell>
          <cell r="K198">
            <v>328.92999267578102</v>
          </cell>
        </row>
        <row r="199">
          <cell r="D199">
            <v>45047</v>
          </cell>
          <cell r="E199">
            <v>329.44000244140602</v>
          </cell>
          <cell r="F199">
            <v>331.23001098632801</v>
          </cell>
          <cell r="G199">
            <v>318.08999633789</v>
          </cell>
          <cell r="H199">
            <v>324.11999511718699</v>
          </cell>
          <cell r="I199">
            <v>324.11999511718699</v>
          </cell>
          <cell r="J199">
            <v>5341500</v>
          </cell>
          <cell r="K199">
            <v>323.11999511718699</v>
          </cell>
        </row>
        <row r="200">
          <cell r="D200">
            <v>45048</v>
          </cell>
          <cell r="E200">
            <v>325</v>
          </cell>
          <cell r="F200">
            <v>326.07000732421801</v>
          </cell>
          <cell r="G200">
            <v>315.61999511718699</v>
          </cell>
          <cell r="H200">
            <v>317.54998779296801</v>
          </cell>
          <cell r="I200">
            <v>317.54998779296801</v>
          </cell>
          <cell r="J200">
            <v>4318600</v>
          </cell>
          <cell r="K200">
            <v>316.54998779296801</v>
          </cell>
        </row>
        <row r="201">
          <cell r="D201">
            <v>45049</v>
          </cell>
          <cell r="E201">
            <v>317.54998779296801</v>
          </cell>
          <cell r="F201">
            <v>324.61999511718699</v>
          </cell>
          <cell r="G201">
            <v>315.850006103515</v>
          </cell>
          <cell r="H201">
            <v>319.29998779296801</v>
          </cell>
          <cell r="I201">
            <v>319.29998779296801</v>
          </cell>
          <cell r="J201">
            <v>5064100</v>
          </cell>
          <cell r="K201">
            <v>318.29998779296801</v>
          </cell>
        </row>
        <row r="202">
          <cell r="D202">
            <v>45050</v>
          </cell>
          <cell r="E202">
            <v>319.010009765625</v>
          </cell>
          <cell r="F202">
            <v>323.60998535156199</v>
          </cell>
          <cell r="G202">
            <v>317.95001220703102</v>
          </cell>
          <cell r="H202">
            <v>320.77999877929602</v>
          </cell>
          <cell r="I202">
            <v>320.77999877929602</v>
          </cell>
          <cell r="J202">
            <v>3879700</v>
          </cell>
          <cell r="K202">
            <v>319.77999877929602</v>
          </cell>
        </row>
        <row r="203">
          <cell r="D203">
            <v>45051</v>
          </cell>
          <cell r="E203">
            <v>323.60998535156199</v>
          </cell>
          <cell r="F203">
            <v>324.14999389648398</v>
          </cell>
          <cell r="G203">
            <v>319.44000244140602</v>
          </cell>
          <cell r="H203">
            <v>322.760009765625</v>
          </cell>
          <cell r="I203">
            <v>322.760009765625</v>
          </cell>
          <cell r="J203">
            <v>3988600</v>
          </cell>
          <cell r="K203">
            <v>321.760009765625</v>
          </cell>
        </row>
        <row r="206">
          <cell r="E206" t="str">
            <v>Open</v>
          </cell>
          <cell r="F206" t="str">
            <v>High</v>
          </cell>
          <cell r="G206" t="str">
            <v>Low</v>
          </cell>
          <cell r="H206" t="str">
            <v>Close</v>
          </cell>
          <cell r="I206" t="str">
            <v>Adj Close</v>
          </cell>
        </row>
        <row r="208">
          <cell r="E208">
            <v>103.629997253417</v>
          </cell>
          <cell r="F208">
            <v>108.669998168945</v>
          </cell>
          <cell r="G208">
            <v>103.54799652099599</v>
          </cell>
          <cell r="H208">
            <v>108.040000915527</v>
          </cell>
          <cell r="I208">
            <v>108.040000915527</v>
          </cell>
          <cell r="J208">
            <v>33738800</v>
          </cell>
        </row>
        <row r="209">
          <cell r="E209">
            <v>102.69000244140599</v>
          </cell>
          <cell r="F209">
            <v>103.58000183105401</v>
          </cell>
          <cell r="G209">
            <v>98.455001831054602</v>
          </cell>
          <cell r="H209">
            <v>100</v>
          </cell>
          <cell r="I209">
            <v>100</v>
          </cell>
          <cell r="J209">
            <v>73546000</v>
          </cell>
        </row>
        <row r="210">
          <cell r="E210">
            <v>100.540000915527</v>
          </cell>
          <cell r="F210">
            <v>100.61000061035099</v>
          </cell>
          <cell r="G210">
            <v>93.860000610351506</v>
          </cell>
          <cell r="H210">
            <v>95.459999084472599</v>
          </cell>
          <cell r="I210">
            <v>95.459999084472599</v>
          </cell>
          <cell r="J210">
            <v>97798600</v>
          </cell>
        </row>
        <row r="211">
          <cell r="E211">
            <v>95.739997863769503</v>
          </cell>
          <cell r="F211">
            <v>97.019996643066406</v>
          </cell>
          <cell r="G211">
            <v>94.529998779296804</v>
          </cell>
          <cell r="H211">
            <v>94.860000610351506</v>
          </cell>
          <cell r="I211">
            <v>94.860000610351506</v>
          </cell>
          <cell r="J211">
            <v>49325300</v>
          </cell>
        </row>
        <row r="212">
          <cell r="E212">
            <v>95.010002136230398</v>
          </cell>
          <cell r="F212">
            <v>95.349998474121094</v>
          </cell>
          <cell r="G212">
            <v>94.050003051757798</v>
          </cell>
          <cell r="H212">
            <v>95</v>
          </cell>
          <cell r="I212">
            <v>95</v>
          </cell>
          <cell r="J212">
            <v>43116600</v>
          </cell>
        </row>
        <row r="213">
          <cell r="E213">
            <v>94.660003662109304</v>
          </cell>
          <cell r="F213">
            <v>95.175003051757798</v>
          </cell>
          <cell r="G213">
            <v>92.650001525878906</v>
          </cell>
          <cell r="H213">
            <v>94.949996948242102</v>
          </cell>
          <cell r="I213">
            <v>94.949996948242102</v>
          </cell>
          <cell r="J213">
            <v>42513100</v>
          </cell>
        </row>
        <row r="214">
          <cell r="E214">
            <v>94.739997863769503</v>
          </cell>
          <cell r="F214">
            <v>97.339996337890597</v>
          </cell>
          <cell r="G214">
            <v>94.360000610351506</v>
          </cell>
          <cell r="H214">
            <v>97.099998474121094</v>
          </cell>
          <cell r="I214">
            <v>97.099998474121094</v>
          </cell>
          <cell r="J214">
            <v>36964500</v>
          </cell>
        </row>
        <row r="215">
          <cell r="E215">
            <v>95.540000915527301</v>
          </cell>
          <cell r="F215">
            <v>97.879997253417898</v>
          </cell>
          <cell r="G215">
            <v>94.970001220703097</v>
          </cell>
          <cell r="H215">
            <v>95.779998779296804</v>
          </cell>
          <cell r="I215">
            <v>95.779998779296804</v>
          </cell>
          <cell r="J215">
            <v>35642100</v>
          </cell>
        </row>
        <row r="216">
          <cell r="E216">
            <v>95.069999694824205</v>
          </cell>
          <cell r="F216">
            <v>95.75</v>
          </cell>
          <cell r="G216">
            <v>93.449996948242102</v>
          </cell>
          <cell r="H216">
            <v>94.589996337890597</v>
          </cell>
          <cell r="I216">
            <v>94.589996337890597</v>
          </cell>
          <cell r="J216">
            <v>31095100</v>
          </cell>
        </row>
        <row r="217">
          <cell r="E217">
            <v>93.239997863769503</v>
          </cell>
          <cell r="F217">
            <v>93.415000915527301</v>
          </cell>
          <cell r="G217">
            <v>92</v>
          </cell>
          <cell r="H217">
            <v>92.050003051757798</v>
          </cell>
          <cell r="I217">
            <v>92.050003051757798</v>
          </cell>
          <cell r="J217">
            <v>28367200</v>
          </cell>
        </row>
        <row r="218">
          <cell r="E218">
            <v>91.933998107910099</v>
          </cell>
          <cell r="F218">
            <v>92.360000610351506</v>
          </cell>
          <cell r="G218">
            <v>90.870002746582003</v>
          </cell>
          <cell r="H218">
            <v>91.800003051757798</v>
          </cell>
          <cell r="I218">
            <v>91.800003051757798</v>
          </cell>
          <cell r="J218">
            <v>29891100</v>
          </cell>
        </row>
        <row r="219">
          <cell r="E219">
            <v>92.129997253417898</v>
          </cell>
          <cell r="F219">
            <v>92.129997253417898</v>
          </cell>
          <cell r="G219">
            <v>90.010002136230398</v>
          </cell>
          <cell r="H219">
            <v>91.069999694824205</v>
          </cell>
          <cell r="I219">
            <v>91.069999694824205</v>
          </cell>
          <cell r="J219">
            <v>32423700</v>
          </cell>
        </row>
        <row r="220">
          <cell r="E220">
            <v>89.629997253417898</v>
          </cell>
          <cell r="F220">
            <v>90.129997253417898</v>
          </cell>
          <cell r="G220">
            <v>88.860000610351506</v>
          </cell>
          <cell r="H220">
            <v>89.349998474121094</v>
          </cell>
          <cell r="I220">
            <v>89.349998474121094</v>
          </cell>
          <cell r="J220">
            <v>31295600</v>
          </cell>
        </row>
        <row r="221">
          <cell r="E221">
            <v>90.089996337890597</v>
          </cell>
          <cell r="F221">
            <v>90.449996948242102</v>
          </cell>
          <cell r="G221">
            <v>89.610000610351506</v>
          </cell>
          <cell r="H221">
            <v>90.099998474121094</v>
          </cell>
          <cell r="I221">
            <v>90.099998474121094</v>
          </cell>
          <cell r="J221">
            <v>22724300</v>
          </cell>
        </row>
        <row r="222">
          <cell r="E222">
            <v>89.540000915527301</v>
          </cell>
          <cell r="F222">
            <v>91.449996948242102</v>
          </cell>
          <cell r="G222">
            <v>89.519996643066406</v>
          </cell>
          <cell r="H222">
            <v>90.300003051757798</v>
          </cell>
          <cell r="I222">
            <v>90.300003051757798</v>
          </cell>
          <cell r="J222">
            <v>30546900</v>
          </cell>
        </row>
        <row r="223">
          <cell r="E223">
            <v>90.160003662109304</v>
          </cell>
          <cell r="F223">
            <v>91.199996948242102</v>
          </cell>
          <cell r="G223">
            <v>89.849998474121094</v>
          </cell>
          <cell r="H223">
            <v>90.510002136230398</v>
          </cell>
          <cell r="I223">
            <v>90.510002136230398</v>
          </cell>
          <cell r="J223">
            <v>26323900</v>
          </cell>
        </row>
        <row r="224">
          <cell r="E224">
            <v>89.860000610351506</v>
          </cell>
          <cell r="F224">
            <v>92.480003356933594</v>
          </cell>
          <cell r="G224">
            <v>89.769996643066406</v>
          </cell>
          <cell r="H224">
            <v>92.309997558593693</v>
          </cell>
          <cell r="I224">
            <v>92.309997558593693</v>
          </cell>
          <cell r="J224">
            <v>23328600</v>
          </cell>
        </row>
        <row r="225">
          <cell r="E225">
            <v>92.739997863769503</v>
          </cell>
          <cell r="F225">
            <v>94.110000610351506</v>
          </cell>
          <cell r="G225">
            <v>92.660003662109304</v>
          </cell>
          <cell r="H225">
            <v>94.019996643066406</v>
          </cell>
          <cell r="I225">
            <v>94.019996643066406</v>
          </cell>
          <cell r="J225">
            <v>30242500</v>
          </cell>
        </row>
        <row r="226">
          <cell r="E226">
            <v>94.360000610351506</v>
          </cell>
          <cell r="F226">
            <v>96.300003051757798</v>
          </cell>
          <cell r="G226">
            <v>94.300003051757798</v>
          </cell>
          <cell r="H226">
            <v>95.580001831054602</v>
          </cell>
          <cell r="I226">
            <v>95.580001831054602</v>
          </cell>
          <cell r="J226">
            <v>28288200</v>
          </cell>
        </row>
        <row r="227">
          <cell r="E227">
            <v>95.419998168945298</v>
          </cell>
          <cell r="F227">
            <v>96.089996337890597</v>
          </cell>
          <cell r="G227">
            <v>93.844001770019503</v>
          </cell>
          <cell r="H227">
            <v>94.169998168945298</v>
          </cell>
          <cell r="I227">
            <v>94.169998168945298</v>
          </cell>
          <cell r="J227">
            <v>24101500</v>
          </cell>
        </row>
        <row r="228">
          <cell r="E228">
            <v>94.404998779296804</v>
          </cell>
          <cell r="F228">
            <v>96.239997863769503</v>
          </cell>
          <cell r="G228">
            <v>94.404998779296804</v>
          </cell>
          <cell r="H228">
            <v>94.650001525878906</v>
          </cell>
          <cell r="I228">
            <v>94.650001525878906</v>
          </cell>
          <cell r="J228">
            <v>25395200</v>
          </cell>
        </row>
        <row r="229">
          <cell r="E229">
            <v>94.489997863769503</v>
          </cell>
          <cell r="F229">
            <v>95.919998168945298</v>
          </cell>
          <cell r="G229">
            <v>92.355003356933594</v>
          </cell>
          <cell r="H229">
            <v>92.660003662109304</v>
          </cell>
          <cell r="I229">
            <v>92.660003662109304</v>
          </cell>
          <cell r="J229">
            <v>24438900</v>
          </cell>
        </row>
        <row r="230">
          <cell r="E230">
            <v>92.5</v>
          </cell>
          <cell r="F230">
            <v>93.180000305175696</v>
          </cell>
          <cell r="G230">
            <v>90.800003051757798</v>
          </cell>
          <cell r="H230">
            <v>91.010002136230398</v>
          </cell>
          <cell r="I230">
            <v>91.010002136230398</v>
          </cell>
          <cell r="J230">
            <v>32850100</v>
          </cell>
        </row>
        <row r="231">
          <cell r="E231">
            <v>90.565002441406193</v>
          </cell>
          <cell r="F231">
            <v>93.080001831054602</v>
          </cell>
          <cell r="G231">
            <v>89.940002441406193</v>
          </cell>
          <cell r="H231">
            <v>91.660003662109304</v>
          </cell>
          <cell r="I231">
            <v>91.660003662109304</v>
          </cell>
          <cell r="J231">
            <v>31508600</v>
          </cell>
        </row>
        <row r="232">
          <cell r="E232">
            <v>93.069999694824205</v>
          </cell>
          <cell r="F232">
            <v>94.830001831054602</v>
          </cell>
          <cell r="G232">
            <v>92.779998779296804</v>
          </cell>
          <cell r="H232">
            <v>94.25</v>
          </cell>
          <cell r="I232">
            <v>94.25</v>
          </cell>
          <cell r="J232">
            <v>32303900</v>
          </cell>
        </row>
        <row r="233">
          <cell r="E233">
            <v>93.540000915527301</v>
          </cell>
          <cell r="F233">
            <v>97.25</v>
          </cell>
          <cell r="G233">
            <v>93.040000915527301</v>
          </cell>
          <cell r="H233">
            <v>96.550003051757798</v>
          </cell>
          <cell r="I233">
            <v>96.550003051757798</v>
          </cell>
          <cell r="J233">
            <v>38367300</v>
          </cell>
        </row>
        <row r="234">
          <cell r="E234">
            <v>96.569999694824205</v>
          </cell>
          <cell r="F234">
            <v>101.970001220703</v>
          </cell>
          <cell r="G234">
            <v>95.870002746582003</v>
          </cell>
          <cell r="H234">
            <v>101.06999969482401</v>
          </cell>
          <cell r="I234">
            <v>101.06999969482401</v>
          </cell>
          <cell r="J234">
            <v>54499500</v>
          </cell>
        </row>
        <row r="235">
          <cell r="E235">
            <v>100.83999633789</v>
          </cell>
          <cell r="F235">
            <v>103.48999786376901</v>
          </cell>
          <cell r="G235">
            <v>100.75</v>
          </cell>
          <cell r="H235">
            <v>102.459999084472</v>
          </cell>
          <cell r="I235">
            <v>102.459999084472</v>
          </cell>
          <cell r="J235">
            <v>76140300</v>
          </cell>
        </row>
        <row r="236">
          <cell r="E236">
            <v>101.059997558593</v>
          </cell>
          <cell r="F236">
            <v>102.58000183105401</v>
          </cell>
          <cell r="G236">
            <v>100.790000915527</v>
          </cell>
          <cell r="H236">
            <v>101.930000305175</v>
          </cell>
          <cell r="I236">
            <v>101.930000305175</v>
          </cell>
          <cell r="J236">
            <v>26033900</v>
          </cell>
        </row>
        <row r="237">
          <cell r="E237">
            <v>101.980003356933</v>
          </cell>
          <cell r="F237">
            <v>105.959999084472</v>
          </cell>
          <cell r="G237">
            <v>101.86000061035099</v>
          </cell>
          <cell r="H237">
            <v>105.83999633789</v>
          </cell>
          <cell r="I237">
            <v>105.83999633789</v>
          </cell>
          <cell r="J237">
            <v>33122800</v>
          </cell>
        </row>
        <row r="238">
          <cell r="E238">
            <v>105.139999389648</v>
          </cell>
          <cell r="F238">
            <v>107.51000213623</v>
          </cell>
          <cell r="G238">
            <v>104.209999084472</v>
          </cell>
          <cell r="H238">
            <v>104.220001220703</v>
          </cell>
          <cell r="I238">
            <v>104.220001220703</v>
          </cell>
          <cell r="J238">
            <v>32336900</v>
          </cell>
        </row>
        <row r="239">
          <cell r="E239">
            <v>105.889999389648</v>
          </cell>
          <cell r="F239">
            <v>107.10099792480401</v>
          </cell>
          <cell r="G239">
            <v>105.41000366210901</v>
          </cell>
          <cell r="H239">
            <v>106.26000213623</v>
          </cell>
          <cell r="I239">
            <v>106.26000213623</v>
          </cell>
          <cell r="J239">
            <v>31385800</v>
          </cell>
        </row>
        <row r="240">
          <cell r="E240">
            <v>105.73999786376901</v>
          </cell>
          <cell r="F240">
            <v>106.16000366210901</v>
          </cell>
          <cell r="G240">
            <v>104.73999786376901</v>
          </cell>
          <cell r="H240">
            <v>106.059997558593</v>
          </cell>
          <cell r="I240">
            <v>106.059997558593</v>
          </cell>
          <cell r="J240">
            <v>25245000</v>
          </cell>
        </row>
        <row r="241">
          <cell r="E241">
            <v>105.31999969482401</v>
          </cell>
          <cell r="F241">
            <v>105.400001525878</v>
          </cell>
          <cell r="G241">
            <v>102.629997253417</v>
          </cell>
          <cell r="H241">
            <v>103.059997558593</v>
          </cell>
          <cell r="I241">
            <v>103.059997558593</v>
          </cell>
          <cell r="J241">
            <v>25393400</v>
          </cell>
        </row>
        <row r="242">
          <cell r="E242">
            <v>103</v>
          </cell>
          <cell r="F242">
            <v>103</v>
          </cell>
          <cell r="G242">
            <v>100.27999877929599</v>
          </cell>
          <cell r="H242">
            <v>101.36000061035099</v>
          </cell>
          <cell r="I242">
            <v>101.36000061035099</v>
          </cell>
          <cell r="J242">
            <v>24913500</v>
          </cell>
        </row>
        <row r="243">
          <cell r="E243">
            <v>102.720001220703</v>
          </cell>
          <cell r="F243">
            <v>102.81999969482401</v>
          </cell>
          <cell r="G243">
            <v>101.02999877929599</v>
          </cell>
          <cell r="H243">
            <v>101.900001525878</v>
          </cell>
          <cell r="I243">
            <v>101.900001525878</v>
          </cell>
          <cell r="J243">
            <v>26148300</v>
          </cell>
        </row>
        <row r="244">
          <cell r="E244">
            <v>101.44000244140599</v>
          </cell>
          <cell r="F244">
            <v>101.61000061035099</v>
          </cell>
          <cell r="G244">
            <v>100.290000915527</v>
          </cell>
          <cell r="H244">
            <v>101.31999969482401</v>
          </cell>
          <cell r="I244">
            <v>101.31999969482401</v>
          </cell>
          <cell r="J244">
            <v>25009800</v>
          </cell>
        </row>
        <row r="245">
          <cell r="E245">
            <v>101.709999084472</v>
          </cell>
          <cell r="F245">
            <v>104.19000244140599</v>
          </cell>
          <cell r="G245">
            <v>101.44000244140599</v>
          </cell>
          <cell r="H245">
            <v>104</v>
          </cell>
          <cell r="I245">
            <v>104</v>
          </cell>
          <cell r="J245">
            <v>28086500</v>
          </cell>
        </row>
        <row r="246">
          <cell r="E246">
            <v>102.669998168945</v>
          </cell>
          <cell r="F246">
            <v>104.949996948242</v>
          </cell>
          <cell r="G246">
            <v>102.379997253417</v>
          </cell>
          <cell r="H246">
            <v>104.91000366210901</v>
          </cell>
          <cell r="I246">
            <v>104.91000366210901</v>
          </cell>
          <cell r="J246">
            <v>20719900</v>
          </cell>
        </row>
        <row r="247">
          <cell r="E247">
            <v>104.83999633789</v>
          </cell>
          <cell r="F247">
            <v>106.09999847412099</v>
          </cell>
          <cell r="G247">
            <v>104.59999847412099</v>
          </cell>
          <cell r="H247">
            <v>105.120002746582</v>
          </cell>
          <cell r="I247">
            <v>105.120002746582</v>
          </cell>
          <cell r="J247">
            <v>20377200</v>
          </cell>
        </row>
        <row r="248">
          <cell r="E248">
            <v>106.120002746582</v>
          </cell>
          <cell r="F248">
            <v>106.540000915527</v>
          </cell>
          <cell r="G248">
            <v>104.101997375488</v>
          </cell>
          <cell r="H248">
            <v>104.949996948242</v>
          </cell>
          <cell r="I248">
            <v>104.949996948242</v>
          </cell>
          <cell r="J248">
            <v>21864200</v>
          </cell>
        </row>
        <row r="249">
          <cell r="E249">
            <v>105.76999664306599</v>
          </cell>
          <cell r="F249">
            <v>109.629997253417</v>
          </cell>
          <cell r="G249">
            <v>104.81500244140599</v>
          </cell>
          <cell r="H249">
            <v>108.900001525878</v>
          </cell>
          <cell r="I249">
            <v>108.900001525878</v>
          </cell>
          <cell r="J249">
            <v>34684200</v>
          </cell>
        </row>
        <row r="250">
          <cell r="E250">
            <v>107.389999389648</v>
          </cell>
          <cell r="F250">
            <v>107.970001220703</v>
          </cell>
          <cell r="G250">
            <v>105.59999847412099</v>
          </cell>
          <cell r="H250">
            <v>106.949996948242</v>
          </cell>
          <cell r="I250">
            <v>106.949996948242</v>
          </cell>
          <cell r="J250">
            <v>19741500</v>
          </cell>
        </row>
        <row r="251">
          <cell r="E251">
            <v>106.919998168945</v>
          </cell>
          <cell r="F251">
            <v>107.220001220703</v>
          </cell>
          <cell r="G251">
            <v>105.27999877929599</v>
          </cell>
          <cell r="H251">
            <v>106.120002746582</v>
          </cell>
          <cell r="I251">
            <v>106.120002746582</v>
          </cell>
          <cell r="J251">
            <v>18721300</v>
          </cell>
        </row>
        <row r="252">
          <cell r="E252">
            <v>107.389999389648</v>
          </cell>
          <cell r="F252">
            <v>107.58699798583901</v>
          </cell>
          <cell r="G252">
            <v>104.970001220703</v>
          </cell>
          <cell r="H252">
            <v>105.220001220703</v>
          </cell>
          <cell r="I252">
            <v>105.220001220703</v>
          </cell>
          <cell r="J252">
            <v>22761600</v>
          </cell>
        </row>
        <row r="253">
          <cell r="E253">
            <v>106.470001220703</v>
          </cell>
          <cell r="F253">
            <v>108.264999389648</v>
          </cell>
          <cell r="G253">
            <v>106.44000244140599</v>
          </cell>
          <cell r="H253">
            <v>108.19000244140599</v>
          </cell>
          <cell r="I253">
            <v>108.19000244140599</v>
          </cell>
          <cell r="J253">
            <v>21650700</v>
          </cell>
        </row>
        <row r="254">
          <cell r="E254">
            <v>107.69000244140599</v>
          </cell>
          <cell r="F254">
            <v>109.58000183105401</v>
          </cell>
          <cell r="G254">
            <v>107.58999633789</v>
          </cell>
          <cell r="H254">
            <v>109.459999084472</v>
          </cell>
          <cell r="I254">
            <v>109.459999084472</v>
          </cell>
          <cell r="J254">
            <v>20745400</v>
          </cell>
        </row>
        <row r="255">
          <cell r="E255">
            <v>105.430000305175</v>
          </cell>
          <cell r="F255">
            <v>106.709999084472</v>
          </cell>
          <cell r="G255">
            <v>105.31999969482401</v>
          </cell>
          <cell r="H255">
            <v>106.419998168945</v>
          </cell>
          <cell r="I255">
            <v>106.419998168945</v>
          </cell>
          <cell r="J255">
            <v>29043400</v>
          </cell>
        </row>
        <row r="256">
          <cell r="E256">
            <v>107</v>
          </cell>
          <cell r="F256">
            <v>107.050003051757</v>
          </cell>
          <cell r="G256">
            <v>104.77999877929599</v>
          </cell>
          <cell r="H256">
            <v>105.120002746582</v>
          </cell>
          <cell r="I256">
            <v>105.120002746582</v>
          </cell>
          <cell r="J256">
            <v>17641400</v>
          </cell>
        </row>
        <row r="257">
          <cell r="E257">
            <v>104.21499633789</v>
          </cell>
          <cell r="F257">
            <v>105.72499847412099</v>
          </cell>
          <cell r="G257">
            <v>103.800003051757</v>
          </cell>
          <cell r="H257">
            <v>105.01999664306599</v>
          </cell>
          <cell r="I257">
            <v>105.01999664306599</v>
          </cell>
          <cell r="J257">
            <v>16732000</v>
          </cell>
        </row>
        <row r="258">
          <cell r="E258">
            <v>104.650001525878</v>
          </cell>
          <cell r="F258">
            <v>106.88800048828099</v>
          </cell>
          <cell r="G258">
            <v>104.639999389648</v>
          </cell>
          <cell r="H258">
            <v>105.900001525878</v>
          </cell>
          <cell r="I258">
            <v>105.900001525878</v>
          </cell>
          <cell r="J258">
            <v>22515300</v>
          </cell>
        </row>
        <row r="259">
          <cell r="E259">
            <v>106.08999633789</v>
          </cell>
          <cell r="F259">
            <v>106.639999389648</v>
          </cell>
          <cell r="G259">
            <v>105.48500061035099</v>
          </cell>
          <cell r="H259">
            <v>105.91000366210901</v>
          </cell>
          <cell r="I259">
            <v>105.91000366210901</v>
          </cell>
          <cell r="J259">
            <v>22369800</v>
          </cell>
        </row>
        <row r="260">
          <cell r="E260">
            <v>106.050003051757</v>
          </cell>
          <cell r="F260">
            <v>107.31999969482401</v>
          </cell>
          <cell r="G260">
            <v>105.36000061035099</v>
          </cell>
          <cell r="H260">
            <v>106.77999877929599</v>
          </cell>
          <cell r="I260">
            <v>106.77999877929599</v>
          </cell>
          <cell r="J260">
            <v>21410900</v>
          </cell>
        </row>
        <row r="261">
          <cell r="E261">
            <v>106.61000061035099</v>
          </cell>
          <cell r="F261">
            <v>107.44000244140599</v>
          </cell>
          <cell r="G261">
            <v>104.559997558593</v>
          </cell>
          <cell r="H261">
            <v>104.61000061035099</v>
          </cell>
          <cell r="I261">
            <v>104.61000061035099</v>
          </cell>
          <cell r="J261">
            <v>31408100</v>
          </cell>
        </row>
        <row r="262">
          <cell r="E262">
            <v>105.559997558593</v>
          </cell>
          <cell r="F262">
            <v>107.01999664306599</v>
          </cell>
          <cell r="G262">
            <v>103.26999664306599</v>
          </cell>
          <cell r="H262">
            <v>104.449996948242</v>
          </cell>
          <cell r="I262">
            <v>104.449996948242</v>
          </cell>
          <cell r="J262">
            <v>37068200</v>
          </cell>
        </row>
        <row r="263">
          <cell r="E263">
            <v>105.230003356933</v>
          </cell>
          <cell r="F263">
            <v>109.150001525878</v>
          </cell>
          <cell r="G263">
            <v>104.419998168945</v>
          </cell>
          <cell r="H263">
            <v>108.370002746582</v>
          </cell>
          <cell r="I263">
            <v>108.370002746582</v>
          </cell>
          <cell r="J263">
            <v>38235200</v>
          </cell>
        </row>
        <row r="264">
          <cell r="E264">
            <v>107.800003051757</v>
          </cell>
          <cell r="F264">
            <v>108.290000915527</v>
          </cell>
          <cell r="G264">
            <v>106.040000915527</v>
          </cell>
          <cell r="H264">
            <v>108.220001220703</v>
          </cell>
          <cell r="I264">
            <v>108.220001220703</v>
          </cell>
          <cell r="J264">
            <v>23957900</v>
          </cell>
        </row>
        <row r="265">
          <cell r="E265">
            <v>107.720001220703</v>
          </cell>
          <cell r="F265">
            <v>108.680000305175</v>
          </cell>
          <cell r="G265">
            <v>107.5</v>
          </cell>
          <cell r="H265">
            <v>107.709999084472</v>
          </cell>
          <cell r="I265">
            <v>107.709999084472</v>
          </cell>
          <cell r="J265">
            <v>20926300</v>
          </cell>
        </row>
        <row r="266">
          <cell r="E266">
            <v>107.66000366210901</v>
          </cell>
          <cell r="F266">
            <v>107.730003356933</v>
          </cell>
          <cell r="G266">
            <v>104.5</v>
          </cell>
          <cell r="H266">
            <v>105.980003356933</v>
          </cell>
          <cell r="I266">
            <v>105.980003356933</v>
          </cell>
          <cell r="J266">
            <v>20343100</v>
          </cell>
        </row>
        <row r="267">
          <cell r="E267">
            <v>106.220001220703</v>
          </cell>
          <cell r="F267">
            <v>108.129997253417</v>
          </cell>
          <cell r="G267">
            <v>105.620002746582</v>
          </cell>
          <cell r="H267">
            <v>106.120002746582</v>
          </cell>
          <cell r="I267">
            <v>106.120002746582</v>
          </cell>
          <cell r="J267">
            <v>17116300</v>
          </cell>
        </row>
        <row r="268">
          <cell r="E268">
            <v>106.16000366210901</v>
          </cell>
          <cell r="F268">
            <v>106.300003051757</v>
          </cell>
          <cell r="G268">
            <v>104.699996948242</v>
          </cell>
          <cell r="H268">
            <v>105.209999084472</v>
          </cell>
          <cell r="I268">
            <v>105.209999084472</v>
          </cell>
          <cell r="J268">
            <v>19780600</v>
          </cell>
        </row>
        <row r="269">
          <cell r="E269">
            <v>105.31999969482401</v>
          </cell>
          <cell r="F269">
            <v>106.44000244140599</v>
          </cell>
          <cell r="G269">
            <v>104.738998413085</v>
          </cell>
          <cell r="H269">
            <v>106.21499633789</v>
          </cell>
          <cell r="I269">
            <v>106.21499633789</v>
          </cell>
          <cell r="J269">
            <v>20705300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L279"/>
  <sheetViews>
    <sheetView showGridLines="0" tabSelected="1" workbookViewId="0">
      <selection activeCell="L47" sqref="L47"/>
    </sheetView>
  </sheetViews>
  <sheetFormatPr defaultColWidth="12.7109375" defaultRowHeight="15"/>
  <cols>
    <col min="1" max="1" width="4.140625" customWidth="1"/>
    <col min="2" max="2" width="11.42578125" customWidth="1"/>
    <col min="3" max="3" width="7.140625" customWidth="1"/>
    <col min="4" max="4" width="10.85546875" customWidth="1"/>
    <col min="5" max="5" width="7.140625" customWidth="1"/>
    <col min="6" max="6" width="7.7109375" customWidth="1"/>
    <col min="7" max="7" width="7.140625" customWidth="1"/>
    <col min="8" max="8" width="7.28515625" customWidth="1"/>
    <col min="9" max="9" width="9.42578125" customWidth="1"/>
    <col min="11" max="11" width="12" customWidth="1"/>
    <col min="12" max="12" width="10.7109375" customWidth="1"/>
    <col min="19" max="19" width="12.7109375" style="2"/>
    <col min="20" max="20" width="12.7109375" customWidth="1"/>
    <col min="24" max="24" width="4.140625" customWidth="1"/>
    <col min="25" max="25" width="2.85546875" customWidth="1"/>
    <col min="31" max="31" width="6.7109375" customWidth="1"/>
    <col min="33" max="33" width="7.85546875" customWidth="1"/>
    <col min="34" max="34" width="14.5703125" customWidth="1"/>
  </cols>
  <sheetData>
    <row r="2" spans="2:38">
      <c r="B2" s="1"/>
      <c r="C2" s="1"/>
      <c r="D2" s="1"/>
      <c r="E2" s="1"/>
      <c r="F2" s="1"/>
      <c r="G2" s="1"/>
      <c r="H2" s="1"/>
      <c r="I2" s="1"/>
      <c r="J2" s="1"/>
      <c r="K2" s="1"/>
    </row>
    <row r="3" spans="2:38" ht="10.5" customHeight="1">
      <c r="B3" s="3"/>
      <c r="C3" s="3"/>
      <c r="D3" s="4" t="s">
        <v>0</v>
      </c>
      <c r="E3" s="4"/>
      <c r="F3" s="4"/>
      <c r="G3" s="4"/>
      <c r="H3" s="4"/>
      <c r="I3" s="4"/>
      <c r="J3" s="3"/>
      <c r="K3" s="3"/>
      <c r="S3" s="51"/>
      <c r="T3" s="50"/>
      <c r="U3" s="50"/>
      <c r="V3" s="50"/>
      <c r="W3" s="50"/>
    </row>
    <row r="4" spans="2:38" ht="15" customHeight="1">
      <c r="B4" s="3"/>
      <c r="C4" s="3"/>
      <c r="D4" s="4"/>
      <c r="E4" s="4"/>
      <c r="F4" s="4"/>
      <c r="G4" s="4"/>
      <c r="H4" s="4"/>
      <c r="I4" s="4"/>
      <c r="J4" s="3"/>
      <c r="K4" s="3"/>
      <c r="S4" s="62"/>
      <c r="T4" s="62"/>
      <c r="U4" s="62"/>
      <c r="V4" s="62"/>
      <c r="W4" s="62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2:38" ht="15" customHeight="1">
      <c r="B5" s="1"/>
      <c r="C5" s="1"/>
      <c r="D5" s="5"/>
      <c r="E5" s="5"/>
      <c r="F5" s="5"/>
      <c r="G5" s="5"/>
      <c r="H5" s="5"/>
      <c r="I5" s="5"/>
      <c r="J5" s="1"/>
      <c r="K5" s="1"/>
      <c r="S5" s="62"/>
      <c r="T5" s="62"/>
      <c r="U5" s="62"/>
      <c r="V5" s="62"/>
      <c r="W5" s="62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2:38" s="6" customFormat="1" ht="15" customHeight="1" thickBot="1">
      <c r="D6" s="7"/>
      <c r="E6" s="7"/>
      <c r="F6" s="7"/>
      <c r="G6" s="7"/>
      <c r="H6" s="7"/>
      <c r="I6" s="7"/>
      <c r="S6" s="52"/>
      <c r="T6" s="47"/>
      <c r="U6" s="47"/>
      <c r="V6" s="47"/>
      <c r="W6" s="47"/>
      <c r="AI6" s="47"/>
      <c r="AJ6" s="47"/>
      <c r="AK6" s="47"/>
    </row>
    <row r="7" spans="2:38" ht="14.25" customHeight="1">
      <c r="B7" s="9"/>
      <c r="C7" s="9"/>
      <c r="D7" s="9"/>
      <c r="E7" s="10" t="s">
        <v>2</v>
      </c>
      <c r="F7" s="10"/>
      <c r="G7" s="9"/>
      <c r="H7" s="9"/>
      <c r="I7" s="9"/>
      <c r="J7" s="9"/>
      <c r="K7" s="9"/>
      <c r="L7" s="11"/>
      <c r="S7" s="52"/>
      <c r="T7" s="55"/>
      <c r="U7" s="55"/>
      <c r="V7" s="55"/>
      <c r="W7" s="55"/>
      <c r="X7" s="6"/>
      <c r="Y7" s="6"/>
      <c r="Z7" s="6"/>
      <c r="AA7" s="6"/>
      <c r="AB7" s="6"/>
      <c r="AC7" s="6"/>
      <c r="AD7" s="6"/>
      <c r="AE7" s="6"/>
      <c r="AF7" s="63"/>
      <c r="AG7" s="63"/>
      <c r="AH7" s="63"/>
      <c r="AI7" s="47"/>
      <c r="AJ7" s="47"/>
      <c r="AK7" s="47"/>
      <c r="AL7" s="6"/>
    </row>
    <row r="8" spans="2:38">
      <c r="B8" s="13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4" t="s">
        <v>16</v>
      </c>
      <c r="K8" s="14" t="s">
        <v>17</v>
      </c>
      <c r="N8" s="15" t="s">
        <v>18</v>
      </c>
      <c r="O8" s="15"/>
      <c r="P8" s="15"/>
      <c r="S8" s="64"/>
      <c r="T8" s="65"/>
      <c r="U8" s="65"/>
      <c r="V8" s="65"/>
      <c r="W8" s="65"/>
      <c r="X8" s="6"/>
      <c r="Y8" s="6"/>
      <c r="Z8" s="47"/>
      <c r="AA8" s="66"/>
      <c r="AB8" s="66"/>
      <c r="AC8" s="66"/>
      <c r="AD8" s="47"/>
      <c r="AE8" s="6"/>
      <c r="AF8" s="47"/>
      <c r="AG8" s="47"/>
      <c r="AH8" s="47"/>
      <c r="AI8" s="47"/>
      <c r="AJ8" s="47"/>
      <c r="AK8" s="47"/>
      <c r="AL8" s="6"/>
    </row>
    <row r="9" spans="2:38">
      <c r="C9" s="19"/>
      <c r="S9" s="52"/>
      <c r="T9" s="47"/>
      <c r="U9" s="47"/>
      <c r="V9" s="47"/>
      <c r="W9" s="47"/>
      <c r="X9" s="6"/>
      <c r="Y9" s="6"/>
      <c r="Z9" s="47"/>
      <c r="AA9" s="47"/>
      <c r="AB9" s="47"/>
      <c r="AC9" s="47"/>
      <c r="AD9" s="47"/>
      <c r="AE9" s="6"/>
      <c r="AF9" s="65"/>
      <c r="AG9" s="65"/>
      <c r="AH9" s="65"/>
      <c r="AI9" s="47"/>
      <c r="AJ9" s="47"/>
      <c r="AK9" s="47"/>
      <c r="AL9" s="6"/>
    </row>
    <row r="10" spans="2:38">
      <c r="B10" t="s">
        <v>23</v>
      </c>
      <c r="C10" s="19" t="s">
        <v>3</v>
      </c>
      <c r="D10" s="20">
        <v>44964</v>
      </c>
      <c r="E10" s="21">
        <v>150.63999938964801</v>
      </c>
      <c r="F10" s="21">
        <v>155.22999572753901</v>
      </c>
      <c r="G10" s="21">
        <v>150.63999938964801</v>
      </c>
      <c r="H10" s="21">
        <v>154.64999389648401</v>
      </c>
      <c r="I10" s="21">
        <v>154.41423034667901</v>
      </c>
      <c r="J10" s="21">
        <v>83322600</v>
      </c>
      <c r="N10" s="20"/>
      <c r="S10" s="39"/>
      <c r="T10" s="38"/>
      <c r="U10" s="38"/>
      <c r="V10" s="38"/>
      <c r="W10" s="38"/>
      <c r="X10" s="6"/>
      <c r="Y10" s="6"/>
      <c r="Z10" s="67"/>
      <c r="AA10" s="67"/>
      <c r="AB10" s="67"/>
      <c r="AC10" s="67"/>
      <c r="AD10" s="67"/>
      <c r="AE10" s="6"/>
      <c r="AF10" s="47"/>
      <c r="AG10" s="47"/>
      <c r="AH10" s="47"/>
      <c r="AI10" s="47"/>
      <c r="AJ10" s="47"/>
      <c r="AK10" s="47"/>
      <c r="AL10" s="6"/>
    </row>
    <row r="11" spans="2:38">
      <c r="B11" t="s">
        <v>23</v>
      </c>
      <c r="C11" s="19" t="s">
        <v>3</v>
      </c>
      <c r="D11" s="20">
        <v>44965</v>
      </c>
      <c r="E11" s="21">
        <v>153.88000488281199</v>
      </c>
      <c r="F11" s="21">
        <v>154.58000183105401</v>
      </c>
      <c r="G11" s="21">
        <v>151.169998168945</v>
      </c>
      <c r="H11" s="21">
        <v>151.919998168945</v>
      </c>
      <c r="I11" s="21">
        <v>151.68840026855401</v>
      </c>
      <c r="J11" s="21">
        <v>64120100</v>
      </c>
      <c r="K11" s="24">
        <f>I11-I10/I10</f>
        <v>150.68840026855401</v>
      </c>
      <c r="N11" s="20"/>
      <c r="S11" s="39"/>
      <c r="T11" s="38"/>
      <c r="U11" s="38"/>
      <c r="V11" s="38"/>
      <c r="W11" s="38"/>
      <c r="X11" s="6"/>
      <c r="Y11" s="6"/>
      <c r="Z11" s="68"/>
      <c r="AA11" s="69"/>
      <c r="AB11" s="69"/>
      <c r="AC11" s="69"/>
      <c r="AD11" s="69"/>
      <c r="AE11" s="6"/>
      <c r="AF11" s="47"/>
      <c r="AG11" s="47"/>
      <c r="AH11" s="49"/>
      <c r="AI11" s="47"/>
      <c r="AJ11" s="47"/>
      <c r="AK11" s="47"/>
      <c r="AL11" s="6"/>
    </row>
    <row r="12" spans="2:38">
      <c r="B12" t="s">
        <v>23</v>
      </c>
      <c r="C12" s="19" t="s">
        <v>3</v>
      </c>
      <c r="D12" s="20">
        <v>44966</v>
      </c>
      <c r="E12" s="21">
        <v>153.77999877929599</v>
      </c>
      <c r="F12" s="21">
        <v>154.33000183105401</v>
      </c>
      <c r="G12" s="21">
        <v>150.419998168945</v>
      </c>
      <c r="H12" s="21">
        <v>150.86999511718699</v>
      </c>
      <c r="I12" s="21">
        <v>150.63999938964801</v>
      </c>
      <c r="J12" s="21">
        <v>56007100</v>
      </c>
      <c r="K12" s="24">
        <f t="shared" ref="K12:K71" si="0">I12-I11/I11</f>
        <v>149.63999938964801</v>
      </c>
      <c r="N12" s="20"/>
      <c r="S12" s="39"/>
      <c r="T12" s="38"/>
      <c r="U12" s="38"/>
      <c r="V12" s="38"/>
      <c r="W12" s="38"/>
      <c r="X12" s="6"/>
      <c r="Y12" s="6"/>
      <c r="Z12" s="68"/>
      <c r="AA12" s="69"/>
      <c r="AB12" s="69"/>
      <c r="AC12" s="69"/>
      <c r="AD12" s="69"/>
      <c r="AE12" s="6"/>
      <c r="AF12" s="47"/>
      <c r="AG12" s="47"/>
      <c r="AH12" s="49"/>
      <c r="AI12" s="47"/>
      <c r="AJ12" s="47"/>
      <c r="AK12" s="47"/>
      <c r="AL12" s="6"/>
    </row>
    <row r="13" spans="2:38">
      <c r="B13" t="s">
        <v>23</v>
      </c>
      <c r="C13" s="19" t="s">
        <v>3</v>
      </c>
      <c r="D13" s="20">
        <v>44967</v>
      </c>
      <c r="E13" s="21">
        <v>149.46000671386699</v>
      </c>
      <c r="F13" s="21">
        <v>151.33999633789</v>
      </c>
      <c r="G13" s="21">
        <v>149.22000122070301</v>
      </c>
      <c r="H13" s="21">
        <v>151.009994506835</v>
      </c>
      <c r="I13" s="21">
        <v>151.009994506835</v>
      </c>
      <c r="J13" s="21">
        <v>57450700</v>
      </c>
      <c r="K13" s="24">
        <f t="shared" si="0"/>
        <v>150.009994506835</v>
      </c>
      <c r="N13" s="20"/>
      <c r="S13" s="39"/>
      <c r="T13" s="38"/>
      <c r="U13" s="38"/>
      <c r="V13" s="38"/>
      <c r="W13" s="38"/>
      <c r="X13" s="6"/>
      <c r="Y13" s="6"/>
      <c r="Z13" s="68"/>
      <c r="AA13" s="69"/>
      <c r="AB13" s="69"/>
      <c r="AC13" s="69"/>
      <c r="AD13" s="69"/>
      <c r="AE13" s="6"/>
      <c r="AF13" s="47"/>
      <c r="AG13" s="47"/>
      <c r="AH13" s="49"/>
      <c r="AI13" s="47"/>
      <c r="AJ13" s="47"/>
      <c r="AK13" s="47"/>
      <c r="AL13" s="6"/>
    </row>
    <row r="14" spans="2:38">
      <c r="B14" t="s">
        <v>23</v>
      </c>
      <c r="C14" s="19" t="s">
        <v>3</v>
      </c>
      <c r="D14" s="20">
        <v>44970</v>
      </c>
      <c r="E14" s="21">
        <v>150.94999694824199</v>
      </c>
      <c r="F14" s="21">
        <v>154.259994506835</v>
      </c>
      <c r="G14" s="21">
        <v>150.919998168945</v>
      </c>
      <c r="H14" s="21">
        <v>153.850006103515</v>
      </c>
      <c r="I14" s="21">
        <v>153.850006103515</v>
      </c>
      <c r="J14" s="21">
        <v>62199000</v>
      </c>
      <c r="K14" s="24">
        <f t="shared" si="0"/>
        <v>152.850006103515</v>
      </c>
      <c r="N14" s="20"/>
      <c r="S14" s="39"/>
      <c r="T14" s="38"/>
      <c r="U14" s="38"/>
      <c r="V14" s="38"/>
      <c r="W14" s="38"/>
      <c r="X14" s="6"/>
      <c r="Y14" s="6"/>
      <c r="Z14" s="68"/>
      <c r="AA14" s="69"/>
      <c r="AB14" s="69"/>
      <c r="AC14" s="69"/>
      <c r="AD14" s="69"/>
      <c r="AE14" s="6"/>
      <c r="AF14" s="47"/>
      <c r="AG14" s="47"/>
      <c r="AH14" s="49"/>
      <c r="AI14" s="47"/>
      <c r="AJ14" s="47"/>
      <c r="AK14" s="47"/>
      <c r="AL14" s="6"/>
    </row>
    <row r="15" spans="2:38">
      <c r="B15" t="s">
        <v>23</v>
      </c>
      <c r="C15" s="19" t="s">
        <v>3</v>
      </c>
      <c r="D15" s="20">
        <v>44971</v>
      </c>
      <c r="E15" s="21">
        <v>152.11999511718699</v>
      </c>
      <c r="F15" s="21">
        <v>153.77000427246</v>
      </c>
      <c r="G15" s="21">
        <v>150.86000061035099</v>
      </c>
      <c r="H15" s="21">
        <v>153.19999694824199</v>
      </c>
      <c r="I15" s="21">
        <v>153.19999694824199</v>
      </c>
      <c r="J15" s="21">
        <v>61707600</v>
      </c>
      <c r="K15" s="24">
        <f t="shared" si="0"/>
        <v>152.19999694824199</v>
      </c>
      <c r="N15" s="20"/>
      <c r="S15" s="39"/>
      <c r="T15" s="38"/>
      <c r="U15" s="38"/>
      <c r="V15" s="38"/>
      <c r="W15" s="38"/>
      <c r="X15" s="6"/>
      <c r="Y15" s="6"/>
      <c r="Z15" s="47"/>
      <c r="AA15" s="47"/>
      <c r="AB15" s="47"/>
      <c r="AC15" s="47"/>
      <c r="AD15" s="6"/>
      <c r="AE15" s="6"/>
      <c r="AF15" s="47"/>
      <c r="AG15" s="47"/>
      <c r="AH15" s="47"/>
      <c r="AI15" s="47"/>
      <c r="AJ15" s="47"/>
      <c r="AK15" s="47"/>
      <c r="AL15" s="6"/>
    </row>
    <row r="16" spans="2:38">
      <c r="B16" t="s">
        <v>23</v>
      </c>
      <c r="C16" s="19" t="s">
        <v>3</v>
      </c>
      <c r="D16" s="20">
        <v>44972</v>
      </c>
      <c r="E16" s="21">
        <v>153.11000061035099</v>
      </c>
      <c r="F16" s="21">
        <v>155.5</v>
      </c>
      <c r="G16" s="21">
        <v>152.88000488281199</v>
      </c>
      <c r="H16" s="21">
        <v>155.33000183105401</v>
      </c>
      <c r="I16" s="21">
        <v>155.33000183105401</v>
      </c>
      <c r="J16" s="21">
        <v>65573800</v>
      </c>
      <c r="K16" s="24">
        <f t="shared" si="0"/>
        <v>154.33000183105401</v>
      </c>
      <c r="N16" s="20"/>
      <c r="S16" s="39"/>
      <c r="T16" s="38"/>
      <c r="U16" s="38"/>
      <c r="V16" s="38"/>
      <c r="W16" s="38"/>
      <c r="X16" s="6"/>
      <c r="Y16" s="6"/>
      <c r="Z16" s="47"/>
      <c r="AA16" s="47"/>
      <c r="AB16" s="47"/>
      <c r="AC16" s="47"/>
      <c r="AD16" s="6"/>
      <c r="AE16" s="6"/>
      <c r="AF16" s="47"/>
      <c r="AG16" s="47"/>
      <c r="AH16" s="47"/>
      <c r="AI16" s="6"/>
      <c r="AJ16" s="6"/>
      <c r="AK16" s="6"/>
      <c r="AL16" s="6"/>
    </row>
    <row r="17" spans="2:38">
      <c r="B17" t="s">
        <v>23</v>
      </c>
      <c r="C17" s="19" t="s">
        <v>3</v>
      </c>
      <c r="D17" s="20">
        <v>44973</v>
      </c>
      <c r="E17" s="21">
        <v>153.509994506835</v>
      </c>
      <c r="F17" s="21">
        <v>156.33000183105401</v>
      </c>
      <c r="G17" s="21">
        <v>153.350006103515</v>
      </c>
      <c r="H17" s="21">
        <v>153.71000671386699</v>
      </c>
      <c r="I17" s="21">
        <v>153.71000671386699</v>
      </c>
      <c r="J17" s="21">
        <v>68167900</v>
      </c>
      <c r="K17" s="24">
        <f t="shared" si="0"/>
        <v>152.71000671386699</v>
      </c>
      <c r="N17" s="20"/>
      <c r="S17" s="39"/>
      <c r="T17" s="38"/>
      <c r="U17" s="38"/>
      <c r="V17" s="38"/>
      <c r="W17" s="38"/>
      <c r="X17" s="6"/>
      <c r="Y17" s="6"/>
      <c r="Z17" s="47"/>
      <c r="AA17" s="70"/>
      <c r="AB17" s="70"/>
      <c r="AC17" s="47"/>
      <c r="AD17" s="6"/>
      <c r="AE17" s="6"/>
      <c r="AF17" s="47"/>
      <c r="AG17" s="47"/>
      <c r="AH17" s="47"/>
      <c r="AI17" s="6"/>
      <c r="AJ17" s="6"/>
      <c r="AK17" s="6"/>
      <c r="AL17" s="6"/>
    </row>
    <row r="18" spans="2:38">
      <c r="B18" t="s">
        <v>23</v>
      </c>
      <c r="C18" s="19" t="s">
        <v>3</v>
      </c>
      <c r="D18" s="20">
        <v>44974</v>
      </c>
      <c r="E18" s="21">
        <v>152.350006103515</v>
      </c>
      <c r="F18" s="21">
        <v>153</v>
      </c>
      <c r="G18" s="21">
        <v>150.850006103515</v>
      </c>
      <c r="H18" s="21">
        <v>152.55000305175699</v>
      </c>
      <c r="I18" s="21">
        <v>152.55000305175699</v>
      </c>
      <c r="J18" s="21">
        <v>59144100</v>
      </c>
      <c r="K18" s="24">
        <f t="shared" si="0"/>
        <v>151.55000305175699</v>
      </c>
      <c r="N18" s="20"/>
      <c r="S18" s="39"/>
      <c r="T18" s="38"/>
      <c r="U18" s="38"/>
      <c r="V18" s="38"/>
      <c r="W18" s="38"/>
      <c r="X18" s="6"/>
      <c r="Y18" s="6"/>
      <c r="Z18" s="47"/>
      <c r="AA18" s="70"/>
      <c r="AB18" s="70"/>
      <c r="AC18" s="47"/>
      <c r="AD18" s="6"/>
      <c r="AE18" s="6"/>
      <c r="AF18" s="6"/>
      <c r="AG18" s="6"/>
      <c r="AH18" s="6"/>
      <c r="AI18" s="6"/>
      <c r="AJ18" s="6"/>
      <c r="AK18" s="6"/>
      <c r="AL18" s="6"/>
    </row>
    <row r="19" spans="2:38">
      <c r="B19" t="s">
        <v>23</v>
      </c>
      <c r="C19" s="19" t="s">
        <v>3</v>
      </c>
      <c r="D19" s="20">
        <v>44978</v>
      </c>
      <c r="E19" s="21">
        <v>150.19999694824199</v>
      </c>
      <c r="F19" s="21">
        <v>151.30000305175699</v>
      </c>
      <c r="G19" s="21">
        <v>148.41000366210901</v>
      </c>
      <c r="H19" s="21">
        <v>148.47999572753901</v>
      </c>
      <c r="I19" s="21">
        <v>148.47999572753901</v>
      </c>
      <c r="J19" s="21">
        <v>58867200</v>
      </c>
      <c r="K19" s="24">
        <f t="shared" si="0"/>
        <v>147.47999572753901</v>
      </c>
      <c r="N19" s="20"/>
      <c r="S19" s="39"/>
      <c r="T19" s="38"/>
      <c r="U19" s="38"/>
      <c r="V19" s="38"/>
      <c r="W19" s="38"/>
      <c r="X19" s="6"/>
      <c r="Y19" s="6"/>
      <c r="Z19" s="47"/>
      <c r="AA19" s="47"/>
      <c r="AB19" s="47"/>
      <c r="AC19" s="47"/>
      <c r="AD19" s="6"/>
      <c r="AE19" s="6"/>
      <c r="AF19" s="6"/>
      <c r="AG19" s="6"/>
      <c r="AH19" s="6"/>
      <c r="AI19" s="6"/>
      <c r="AJ19" s="6"/>
      <c r="AK19" s="6"/>
      <c r="AL19" s="6"/>
    </row>
    <row r="20" spans="2:38">
      <c r="B20" t="s">
        <v>23</v>
      </c>
      <c r="C20" s="19" t="s">
        <v>3</v>
      </c>
      <c r="D20" s="20">
        <v>44979</v>
      </c>
      <c r="E20" s="21">
        <v>148.86999511718699</v>
      </c>
      <c r="F20" s="21">
        <v>149.94999694824199</v>
      </c>
      <c r="G20" s="21">
        <v>147.16000366210901</v>
      </c>
      <c r="H20" s="21">
        <v>148.91000366210901</v>
      </c>
      <c r="I20" s="21">
        <v>148.91000366210901</v>
      </c>
      <c r="J20" s="21">
        <v>51011300</v>
      </c>
      <c r="K20" s="24">
        <f t="shared" si="0"/>
        <v>147.91000366210901</v>
      </c>
      <c r="N20" s="20"/>
      <c r="S20" s="22"/>
      <c r="T20" s="21"/>
      <c r="U20" s="21"/>
      <c r="V20" s="21"/>
      <c r="W20" s="21"/>
    </row>
    <row r="21" spans="2:38">
      <c r="B21" t="s">
        <v>23</v>
      </c>
      <c r="C21" s="19" t="s">
        <v>3</v>
      </c>
      <c r="D21" s="20">
        <v>44980</v>
      </c>
      <c r="E21" s="21">
        <v>150.08999633789</v>
      </c>
      <c r="F21" s="21">
        <v>150.33999633789</v>
      </c>
      <c r="G21" s="21">
        <v>147.24000549316401</v>
      </c>
      <c r="H21" s="21">
        <v>149.39999389648401</v>
      </c>
      <c r="I21" s="21">
        <v>149.39999389648401</v>
      </c>
      <c r="J21" s="21">
        <v>48394200</v>
      </c>
      <c r="K21" s="24">
        <f t="shared" si="0"/>
        <v>148.39999389648401</v>
      </c>
      <c r="N21" s="20"/>
      <c r="S21" s="22"/>
      <c r="T21" s="21"/>
      <c r="U21" s="21"/>
      <c r="V21" s="21"/>
      <c r="W21" s="21"/>
    </row>
    <row r="22" spans="2:38">
      <c r="B22" t="s">
        <v>23</v>
      </c>
      <c r="C22" s="19" t="s">
        <v>3</v>
      </c>
      <c r="D22" s="20">
        <v>44981</v>
      </c>
      <c r="E22" s="21">
        <v>147.11000061035099</v>
      </c>
      <c r="F22" s="21">
        <v>147.19000244140599</v>
      </c>
      <c r="G22" s="21">
        <v>145.72000122070301</v>
      </c>
      <c r="H22" s="21">
        <v>146.71000671386699</v>
      </c>
      <c r="I22" s="21">
        <v>146.71000671386699</v>
      </c>
      <c r="J22" s="21">
        <v>55469600</v>
      </c>
      <c r="K22" s="24">
        <f t="shared" si="0"/>
        <v>145.71000671386699</v>
      </c>
      <c r="N22" s="20"/>
      <c r="S22" s="22"/>
      <c r="T22" s="21"/>
      <c r="U22" s="21"/>
      <c r="V22" s="21"/>
      <c r="W22" s="21"/>
    </row>
    <row r="23" spans="2:38">
      <c r="B23" t="s">
        <v>23</v>
      </c>
      <c r="C23" s="19" t="s">
        <v>3</v>
      </c>
      <c r="D23" s="20">
        <v>44984</v>
      </c>
      <c r="E23" s="21">
        <v>147.71000671386699</v>
      </c>
      <c r="F23" s="21">
        <v>149.169998168945</v>
      </c>
      <c r="G23" s="21">
        <v>147.44999694824199</v>
      </c>
      <c r="H23" s="21">
        <v>147.919998168945</v>
      </c>
      <c r="I23" s="21">
        <v>147.919998168945</v>
      </c>
      <c r="J23" s="21">
        <v>44998500</v>
      </c>
      <c r="K23" s="24">
        <f t="shared" si="0"/>
        <v>146.919998168945</v>
      </c>
      <c r="N23" s="20"/>
      <c r="S23" s="22"/>
      <c r="T23" s="21"/>
      <c r="U23" s="21"/>
      <c r="V23" s="21"/>
      <c r="W23" s="21"/>
    </row>
    <row r="24" spans="2:38">
      <c r="B24" t="s">
        <v>23</v>
      </c>
      <c r="C24" s="19" t="s">
        <v>3</v>
      </c>
      <c r="D24" s="20">
        <v>44985</v>
      </c>
      <c r="E24" s="21">
        <v>147.05000305175699</v>
      </c>
      <c r="F24" s="21">
        <v>149.08000183105401</v>
      </c>
      <c r="G24" s="21">
        <v>146.83000183105401</v>
      </c>
      <c r="H24" s="21">
        <v>147.41000366210901</v>
      </c>
      <c r="I24" s="21">
        <v>147.41000366210901</v>
      </c>
      <c r="J24" s="21">
        <v>50547000</v>
      </c>
      <c r="K24" s="24">
        <f t="shared" si="0"/>
        <v>146.41000366210901</v>
      </c>
      <c r="N24" s="20"/>
      <c r="S24" s="22"/>
      <c r="T24" s="21"/>
      <c r="U24" s="21"/>
      <c r="V24" s="21"/>
      <c r="W24" s="21"/>
    </row>
    <row r="25" spans="2:38">
      <c r="B25" t="s">
        <v>23</v>
      </c>
      <c r="C25" s="19" t="s">
        <v>3</v>
      </c>
      <c r="D25" s="20">
        <v>44986</v>
      </c>
      <c r="E25" s="21">
        <v>146.83000183105401</v>
      </c>
      <c r="F25" s="21">
        <v>147.22999572753901</v>
      </c>
      <c r="G25" s="21">
        <v>145.009994506835</v>
      </c>
      <c r="H25" s="21">
        <v>145.30999755859301</v>
      </c>
      <c r="I25" s="21">
        <v>145.30999755859301</v>
      </c>
      <c r="J25" s="21">
        <v>55479000</v>
      </c>
      <c r="K25" s="24">
        <f t="shared" si="0"/>
        <v>144.30999755859301</v>
      </c>
      <c r="N25" s="20"/>
      <c r="S25" s="22"/>
      <c r="T25" s="21"/>
      <c r="U25" s="21"/>
      <c r="V25" s="21"/>
      <c r="W25" s="21"/>
    </row>
    <row r="26" spans="2:38">
      <c r="B26" t="s">
        <v>23</v>
      </c>
      <c r="C26" s="19" t="s">
        <v>3</v>
      </c>
      <c r="D26" s="20">
        <v>44987</v>
      </c>
      <c r="E26" s="21">
        <v>144.38000488281199</v>
      </c>
      <c r="F26" s="21">
        <v>146.71000671386699</v>
      </c>
      <c r="G26" s="21">
        <v>143.89999389648401</v>
      </c>
      <c r="H26" s="21">
        <v>145.91000366210901</v>
      </c>
      <c r="I26" s="21">
        <v>145.91000366210901</v>
      </c>
      <c r="J26" s="21">
        <v>52238100</v>
      </c>
      <c r="K26" s="24">
        <f t="shared" si="0"/>
        <v>144.91000366210901</v>
      </c>
      <c r="N26" s="20"/>
      <c r="S26" s="22"/>
      <c r="T26" s="21"/>
      <c r="U26" s="21"/>
      <c r="V26" s="21"/>
      <c r="W26" s="21"/>
    </row>
    <row r="27" spans="2:38">
      <c r="B27" t="s">
        <v>23</v>
      </c>
      <c r="C27" s="19" t="s">
        <v>3</v>
      </c>
      <c r="D27" s="20">
        <v>44988</v>
      </c>
      <c r="E27" s="21">
        <v>148.03999328613199</v>
      </c>
      <c r="F27" s="21">
        <v>151.11000061035099</v>
      </c>
      <c r="G27" s="21">
        <v>147.33000183105401</v>
      </c>
      <c r="H27" s="21">
        <v>151.02999877929599</v>
      </c>
      <c r="I27" s="21">
        <v>151.02999877929599</v>
      </c>
      <c r="J27" s="21">
        <v>70732300</v>
      </c>
      <c r="K27" s="24">
        <f t="shared" si="0"/>
        <v>150.02999877929599</v>
      </c>
      <c r="N27" s="20"/>
      <c r="S27" s="22"/>
      <c r="T27" s="21"/>
      <c r="U27" s="21"/>
      <c r="V27" s="21"/>
      <c r="W27" s="21"/>
    </row>
    <row r="28" spans="2:38">
      <c r="B28" t="s">
        <v>23</v>
      </c>
      <c r="C28" s="19" t="s">
        <v>3</v>
      </c>
      <c r="D28" s="20">
        <v>44991</v>
      </c>
      <c r="E28" s="21">
        <v>153.78999328613199</v>
      </c>
      <c r="F28" s="21">
        <v>156.30000305175699</v>
      </c>
      <c r="G28" s="21">
        <v>153.46000671386699</v>
      </c>
      <c r="H28" s="21">
        <v>153.83000183105401</v>
      </c>
      <c r="I28" s="21">
        <v>153.83000183105401</v>
      </c>
      <c r="J28" s="21">
        <v>87558000</v>
      </c>
      <c r="K28" s="24">
        <f t="shared" si="0"/>
        <v>152.83000183105401</v>
      </c>
      <c r="N28" s="35" t="s">
        <v>26</v>
      </c>
      <c r="O28" s="35"/>
      <c r="P28" s="35"/>
      <c r="S28" s="22"/>
      <c r="T28" s="21"/>
      <c r="U28" s="21"/>
      <c r="V28" s="21"/>
      <c r="W28" s="21"/>
    </row>
    <row r="29" spans="2:38">
      <c r="B29" t="s">
        <v>23</v>
      </c>
      <c r="C29" s="19" t="s">
        <v>3</v>
      </c>
      <c r="D29" s="20">
        <v>44992</v>
      </c>
      <c r="E29" s="21">
        <v>153.69999694824199</v>
      </c>
      <c r="F29" s="21">
        <v>154.02999877929599</v>
      </c>
      <c r="G29" s="21">
        <v>151.13000488281199</v>
      </c>
      <c r="H29" s="21">
        <v>151.600006103515</v>
      </c>
      <c r="I29" s="21">
        <v>151.600006103515</v>
      </c>
      <c r="J29" s="21">
        <v>56182000</v>
      </c>
      <c r="K29" s="24">
        <f t="shared" si="0"/>
        <v>150.600006103515</v>
      </c>
      <c r="N29" s="20"/>
      <c r="S29" s="22"/>
      <c r="T29" s="21"/>
      <c r="U29" s="21"/>
      <c r="V29" s="21"/>
      <c r="W29" s="21"/>
    </row>
    <row r="30" spans="2:38">
      <c r="B30" t="s">
        <v>23</v>
      </c>
      <c r="C30" s="19" t="s">
        <v>3</v>
      </c>
      <c r="D30" s="20">
        <v>44993</v>
      </c>
      <c r="E30" s="21">
        <v>152.80999755859301</v>
      </c>
      <c r="F30" s="21">
        <v>153.47000122070301</v>
      </c>
      <c r="G30" s="21">
        <v>151.83000183105401</v>
      </c>
      <c r="H30" s="21">
        <v>152.86999511718699</v>
      </c>
      <c r="I30" s="21">
        <v>152.86999511718699</v>
      </c>
      <c r="J30" s="21">
        <v>47204800</v>
      </c>
      <c r="K30" s="24">
        <f t="shared" si="0"/>
        <v>151.86999511718699</v>
      </c>
      <c r="S30" s="22"/>
      <c r="T30" s="21"/>
      <c r="U30" s="21"/>
      <c r="V30" s="21"/>
      <c r="W30" s="21"/>
    </row>
    <row r="31" spans="2:38">
      <c r="B31" t="s">
        <v>23</v>
      </c>
      <c r="C31" s="19" t="s">
        <v>3</v>
      </c>
      <c r="D31" s="20">
        <v>44994</v>
      </c>
      <c r="E31" s="21">
        <v>153.55999755859301</v>
      </c>
      <c r="F31" s="21">
        <v>154.53999328613199</v>
      </c>
      <c r="G31" s="21">
        <v>150.22999572753901</v>
      </c>
      <c r="H31" s="21">
        <v>150.58999633789</v>
      </c>
      <c r="I31" s="21">
        <v>150.58999633789</v>
      </c>
      <c r="J31" s="21">
        <v>53833600</v>
      </c>
      <c r="K31" s="24">
        <f t="shared" si="0"/>
        <v>149.58999633789</v>
      </c>
      <c r="S31" s="22"/>
      <c r="T31" s="21"/>
      <c r="U31" s="21"/>
      <c r="V31" s="21"/>
      <c r="W31" s="21"/>
    </row>
    <row r="32" spans="2:38">
      <c r="B32" t="s">
        <v>23</v>
      </c>
      <c r="C32" s="19" t="s">
        <v>3</v>
      </c>
      <c r="D32" s="20">
        <v>44995</v>
      </c>
      <c r="E32" s="21">
        <v>150.21000671386699</v>
      </c>
      <c r="F32" s="21">
        <v>150.94000244140599</v>
      </c>
      <c r="G32" s="21">
        <v>147.61000061035099</v>
      </c>
      <c r="H32" s="21">
        <v>148.5</v>
      </c>
      <c r="I32" s="21">
        <v>148.5</v>
      </c>
      <c r="J32" s="21">
        <v>68572400</v>
      </c>
      <c r="K32" s="24">
        <f t="shared" si="0"/>
        <v>147.5</v>
      </c>
      <c r="S32" s="22"/>
      <c r="T32" s="21"/>
      <c r="U32" s="21"/>
      <c r="V32" s="21"/>
      <c r="W32" s="21"/>
    </row>
    <row r="33" spans="2:23">
      <c r="B33" t="s">
        <v>23</v>
      </c>
      <c r="C33" s="19" t="s">
        <v>3</v>
      </c>
      <c r="D33" s="20">
        <v>44998</v>
      </c>
      <c r="E33" s="21">
        <v>147.80999755859301</v>
      </c>
      <c r="F33" s="21">
        <v>153.13999938964801</v>
      </c>
      <c r="G33" s="21">
        <v>147.69999694824199</v>
      </c>
      <c r="H33" s="21">
        <v>150.47000122070301</v>
      </c>
      <c r="I33" s="21">
        <v>150.47000122070301</v>
      </c>
      <c r="J33" s="21">
        <v>84457100</v>
      </c>
      <c r="K33" s="24">
        <f t="shared" si="0"/>
        <v>149.47000122070301</v>
      </c>
      <c r="S33" s="22"/>
      <c r="T33" s="21"/>
      <c r="U33" s="21"/>
      <c r="V33" s="21"/>
      <c r="W33" s="21"/>
    </row>
    <row r="34" spans="2:23">
      <c r="B34" t="s">
        <v>23</v>
      </c>
      <c r="C34" s="19" t="s">
        <v>3</v>
      </c>
      <c r="D34" s="20">
        <v>44999</v>
      </c>
      <c r="E34" s="21">
        <v>151.27999877929599</v>
      </c>
      <c r="F34" s="21">
        <v>153.39999389648401</v>
      </c>
      <c r="G34" s="21">
        <v>150.100006103515</v>
      </c>
      <c r="H34" s="21">
        <v>152.58999633789</v>
      </c>
      <c r="I34" s="21">
        <v>152.58999633789</v>
      </c>
      <c r="J34" s="21">
        <v>73695900</v>
      </c>
      <c r="K34" s="24">
        <f t="shared" si="0"/>
        <v>151.58999633789</v>
      </c>
      <c r="S34" s="22"/>
      <c r="T34" s="21"/>
      <c r="U34" s="21"/>
      <c r="V34" s="21"/>
      <c r="W34" s="21"/>
    </row>
    <row r="35" spans="2:23">
      <c r="B35" t="s">
        <v>23</v>
      </c>
      <c r="C35" s="19" t="s">
        <v>3</v>
      </c>
      <c r="D35" s="20">
        <v>45000</v>
      </c>
      <c r="E35" s="21">
        <v>151.19000244140599</v>
      </c>
      <c r="F35" s="21">
        <v>153.25</v>
      </c>
      <c r="G35" s="21">
        <v>149.919998168945</v>
      </c>
      <c r="H35" s="21">
        <v>152.99000549316401</v>
      </c>
      <c r="I35" s="21">
        <v>152.99000549316401</v>
      </c>
      <c r="J35" s="21">
        <v>77167900</v>
      </c>
      <c r="K35" s="24">
        <f t="shared" si="0"/>
        <v>151.99000549316401</v>
      </c>
      <c r="S35" s="22"/>
      <c r="T35" s="21"/>
      <c r="U35" s="21"/>
      <c r="V35" s="21"/>
      <c r="W35" s="21"/>
    </row>
    <row r="36" spans="2:23">
      <c r="B36" t="s">
        <v>23</v>
      </c>
      <c r="C36" s="19" t="s">
        <v>3</v>
      </c>
      <c r="D36" s="20">
        <v>45001</v>
      </c>
      <c r="E36" s="21">
        <v>152.16000366210901</v>
      </c>
      <c r="F36" s="21">
        <v>156.46000671386699</v>
      </c>
      <c r="G36" s="21">
        <v>151.63999938964801</v>
      </c>
      <c r="H36" s="21">
        <v>155.850006103515</v>
      </c>
      <c r="I36" s="21">
        <v>155.850006103515</v>
      </c>
      <c r="J36" s="21">
        <v>76161100</v>
      </c>
      <c r="K36" s="24">
        <f t="shared" si="0"/>
        <v>154.850006103515</v>
      </c>
      <c r="S36" s="22"/>
      <c r="T36" s="21"/>
      <c r="U36" s="21"/>
      <c r="V36" s="21"/>
      <c r="W36" s="21"/>
    </row>
    <row r="37" spans="2:23">
      <c r="B37" t="s">
        <v>23</v>
      </c>
      <c r="C37" s="19" t="s">
        <v>3</v>
      </c>
      <c r="D37" s="20">
        <v>45002</v>
      </c>
      <c r="E37" s="21">
        <v>156.08000183105401</v>
      </c>
      <c r="F37" s="21">
        <v>156.74000549316401</v>
      </c>
      <c r="G37" s="21">
        <v>154.27999877929599</v>
      </c>
      <c r="H37" s="21">
        <v>155</v>
      </c>
      <c r="I37" s="21">
        <v>155</v>
      </c>
      <c r="J37" s="21">
        <v>98944600</v>
      </c>
      <c r="K37" s="24">
        <f t="shared" si="0"/>
        <v>154</v>
      </c>
      <c r="S37" s="22"/>
      <c r="T37" s="21"/>
      <c r="U37" s="21"/>
      <c r="V37" s="21"/>
      <c r="W37" s="21"/>
    </row>
    <row r="38" spans="2:23">
      <c r="B38" t="s">
        <v>23</v>
      </c>
      <c r="C38" s="19" t="s">
        <v>3</v>
      </c>
      <c r="D38" s="20">
        <v>45005</v>
      </c>
      <c r="E38" s="21">
        <v>155.07000732421801</v>
      </c>
      <c r="F38" s="21">
        <v>157.82000732421801</v>
      </c>
      <c r="G38" s="21">
        <v>154.14999389648401</v>
      </c>
      <c r="H38" s="21">
        <v>157.39999389648401</v>
      </c>
      <c r="I38" s="21">
        <v>157.39999389648401</v>
      </c>
      <c r="J38" s="21">
        <v>73641400</v>
      </c>
      <c r="K38" s="24">
        <f t="shared" si="0"/>
        <v>156.39999389648401</v>
      </c>
      <c r="S38" s="22"/>
      <c r="T38" s="21"/>
      <c r="U38" s="21"/>
      <c r="V38" s="21"/>
      <c r="W38" s="21"/>
    </row>
    <row r="39" spans="2:23">
      <c r="B39" t="s">
        <v>23</v>
      </c>
      <c r="C39" s="19" t="s">
        <v>3</v>
      </c>
      <c r="D39" s="20">
        <v>45006</v>
      </c>
      <c r="E39" s="21">
        <v>157.32000732421801</v>
      </c>
      <c r="F39" s="21">
        <v>159.39999389648401</v>
      </c>
      <c r="G39" s="21">
        <v>156.53999328613199</v>
      </c>
      <c r="H39" s="21">
        <v>159.27999877929599</v>
      </c>
      <c r="I39" s="21">
        <v>159.27999877929599</v>
      </c>
      <c r="J39" s="21">
        <v>73938300</v>
      </c>
      <c r="K39" s="24">
        <f t="shared" si="0"/>
        <v>158.27999877929599</v>
      </c>
      <c r="S39" s="22"/>
      <c r="T39" s="21"/>
      <c r="U39" s="21"/>
      <c r="V39" s="21"/>
      <c r="W39" s="21"/>
    </row>
    <row r="40" spans="2:23">
      <c r="B40" t="s">
        <v>23</v>
      </c>
      <c r="C40" s="19" t="s">
        <v>3</v>
      </c>
      <c r="D40" s="20">
        <v>45007</v>
      </c>
      <c r="E40" s="21">
        <v>159.30000305175699</v>
      </c>
      <c r="F40" s="21">
        <v>162.13999938964801</v>
      </c>
      <c r="G40" s="21">
        <v>157.80999755859301</v>
      </c>
      <c r="H40" s="21">
        <v>157.83000183105401</v>
      </c>
      <c r="I40" s="21">
        <v>157.83000183105401</v>
      </c>
      <c r="J40" s="21">
        <v>75701800</v>
      </c>
      <c r="K40" s="24">
        <f t="shared" si="0"/>
        <v>156.83000183105401</v>
      </c>
      <c r="S40" s="22"/>
      <c r="T40" s="21"/>
      <c r="U40" s="21"/>
      <c r="V40" s="21"/>
      <c r="W40" s="21"/>
    </row>
    <row r="41" spans="2:23">
      <c r="B41" t="s">
        <v>23</v>
      </c>
      <c r="C41" s="19" t="s">
        <v>3</v>
      </c>
      <c r="D41" s="20">
        <v>45008</v>
      </c>
      <c r="E41" s="21">
        <v>158.83000183105401</v>
      </c>
      <c r="F41" s="21">
        <v>161.55000305175699</v>
      </c>
      <c r="G41" s="21">
        <v>157.67999267578099</v>
      </c>
      <c r="H41" s="21">
        <v>158.92999267578099</v>
      </c>
      <c r="I41" s="21">
        <v>158.92999267578099</v>
      </c>
      <c r="J41" s="21">
        <v>67622100</v>
      </c>
      <c r="K41" s="24">
        <f t="shared" si="0"/>
        <v>157.92999267578099</v>
      </c>
      <c r="S41" s="22"/>
      <c r="T41" s="21"/>
      <c r="U41" s="21"/>
      <c r="V41" s="21"/>
      <c r="W41" s="21"/>
    </row>
    <row r="42" spans="2:23">
      <c r="B42" t="s">
        <v>23</v>
      </c>
      <c r="C42" s="19" t="s">
        <v>3</v>
      </c>
      <c r="D42" s="20">
        <v>45009</v>
      </c>
      <c r="E42" s="21">
        <v>158.86000061035099</v>
      </c>
      <c r="F42" s="21">
        <v>160.33999633789</v>
      </c>
      <c r="G42" s="21">
        <v>157.850006103515</v>
      </c>
      <c r="H42" s="21">
        <v>160.25</v>
      </c>
      <c r="I42" s="21">
        <v>160.25</v>
      </c>
      <c r="J42" s="21">
        <v>59196500</v>
      </c>
      <c r="K42" s="24">
        <f t="shared" si="0"/>
        <v>159.25</v>
      </c>
      <c r="S42" s="22"/>
      <c r="T42" s="21"/>
      <c r="U42" s="21"/>
      <c r="V42" s="21"/>
      <c r="W42" s="21"/>
    </row>
    <row r="43" spans="2:23">
      <c r="B43" t="s">
        <v>23</v>
      </c>
      <c r="C43" s="19" t="s">
        <v>3</v>
      </c>
      <c r="D43" s="20">
        <v>45012</v>
      </c>
      <c r="E43" s="21">
        <v>159.94000244140599</v>
      </c>
      <c r="F43" s="21">
        <v>160.77000427246</v>
      </c>
      <c r="G43" s="21">
        <v>157.86999511718699</v>
      </c>
      <c r="H43" s="21">
        <v>158.27999877929599</v>
      </c>
      <c r="I43" s="21">
        <v>158.27999877929599</v>
      </c>
      <c r="J43" s="21">
        <v>52390300</v>
      </c>
      <c r="K43" s="24">
        <f t="shared" si="0"/>
        <v>157.27999877929599</v>
      </c>
      <c r="S43" s="22"/>
      <c r="T43" s="21"/>
      <c r="U43" s="21"/>
      <c r="V43" s="21"/>
      <c r="W43" s="21"/>
    </row>
    <row r="44" spans="2:23">
      <c r="B44" t="s">
        <v>23</v>
      </c>
      <c r="C44" s="19" t="s">
        <v>3</v>
      </c>
      <c r="D44" s="20">
        <v>45013</v>
      </c>
      <c r="E44" s="21">
        <v>157.97000122070301</v>
      </c>
      <c r="F44" s="21">
        <v>158.49000549316401</v>
      </c>
      <c r="G44" s="21">
        <v>155.97999572753901</v>
      </c>
      <c r="H44" s="21">
        <v>157.64999389648401</v>
      </c>
      <c r="I44" s="21">
        <v>157.64999389648401</v>
      </c>
      <c r="J44" s="21">
        <v>45992200</v>
      </c>
      <c r="K44" s="24">
        <f t="shared" si="0"/>
        <v>156.64999389648401</v>
      </c>
      <c r="S44" s="22"/>
      <c r="T44" s="21"/>
      <c r="U44" s="21"/>
      <c r="V44" s="21"/>
      <c r="W44" s="21"/>
    </row>
    <row r="45" spans="2:23">
      <c r="B45" t="s">
        <v>23</v>
      </c>
      <c r="C45" s="19" t="s">
        <v>3</v>
      </c>
      <c r="D45" s="20">
        <v>45014</v>
      </c>
      <c r="E45" s="21">
        <v>159.36999511718699</v>
      </c>
      <c r="F45" s="21">
        <v>161.05000305175699</v>
      </c>
      <c r="G45" s="21">
        <v>159.350006103515</v>
      </c>
      <c r="H45" s="21">
        <v>160.77000427246</v>
      </c>
      <c r="I45" s="21">
        <v>160.77000427246</v>
      </c>
      <c r="J45" s="21">
        <v>51305700</v>
      </c>
      <c r="K45" s="24">
        <f t="shared" si="0"/>
        <v>159.77000427246</v>
      </c>
      <c r="S45" s="22"/>
      <c r="T45" s="21"/>
      <c r="U45" s="21"/>
      <c r="V45" s="21"/>
      <c r="W45" s="21"/>
    </row>
    <row r="46" spans="2:23">
      <c r="B46" t="s">
        <v>23</v>
      </c>
      <c r="C46" s="19" t="s">
        <v>3</v>
      </c>
      <c r="D46" s="20">
        <v>45015</v>
      </c>
      <c r="E46" s="21">
        <v>161.52999877929599</v>
      </c>
      <c r="F46" s="21">
        <v>162.47000122070301</v>
      </c>
      <c r="G46" s="21">
        <v>161.27000427246</v>
      </c>
      <c r="H46" s="21">
        <v>162.36000061035099</v>
      </c>
      <c r="I46" s="21">
        <v>162.36000061035099</v>
      </c>
      <c r="J46" s="21">
        <v>49501700</v>
      </c>
      <c r="K46" s="24">
        <f t="shared" si="0"/>
        <v>161.36000061035099</v>
      </c>
      <c r="S46" s="22"/>
      <c r="T46" s="21"/>
      <c r="U46" s="21"/>
      <c r="V46" s="21"/>
      <c r="W46" s="21"/>
    </row>
    <row r="47" spans="2:23">
      <c r="B47" t="s">
        <v>23</v>
      </c>
      <c r="C47" s="19" t="s">
        <v>3</v>
      </c>
      <c r="D47" s="20">
        <v>45016</v>
      </c>
      <c r="E47" s="21">
        <v>162.44000244140599</v>
      </c>
      <c r="F47" s="21">
        <v>165</v>
      </c>
      <c r="G47" s="21">
        <v>161.91000366210901</v>
      </c>
      <c r="H47" s="21">
        <v>164.89999389648401</v>
      </c>
      <c r="I47" s="21">
        <v>164.89999389648401</v>
      </c>
      <c r="J47" s="21">
        <v>68749800</v>
      </c>
      <c r="K47" s="24">
        <f t="shared" si="0"/>
        <v>163.89999389648401</v>
      </c>
      <c r="S47" s="22"/>
      <c r="T47" s="21"/>
      <c r="U47" s="21"/>
      <c r="V47" s="21"/>
      <c r="W47" s="21"/>
    </row>
    <row r="48" spans="2:23">
      <c r="B48" t="s">
        <v>23</v>
      </c>
      <c r="C48" s="19" t="s">
        <v>3</v>
      </c>
      <c r="D48" s="20">
        <v>45019</v>
      </c>
      <c r="E48" s="21">
        <v>164.27000427246</v>
      </c>
      <c r="F48" s="21">
        <v>166.28999328613199</v>
      </c>
      <c r="G48" s="21">
        <v>164.22000122070301</v>
      </c>
      <c r="H48" s="21">
        <v>166.169998168945</v>
      </c>
      <c r="I48" s="21">
        <v>166.169998168945</v>
      </c>
      <c r="J48" s="21">
        <v>56976200</v>
      </c>
      <c r="K48" s="24">
        <f t="shared" si="0"/>
        <v>165.169998168945</v>
      </c>
      <c r="S48" s="22"/>
      <c r="T48" s="21"/>
      <c r="U48" s="21"/>
      <c r="V48" s="21"/>
      <c r="W48" s="21"/>
    </row>
    <row r="49" spans="2:23">
      <c r="B49" t="s">
        <v>23</v>
      </c>
      <c r="C49" s="19" t="s">
        <v>3</v>
      </c>
      <c r="D49" s="20">
        <v>45020</v>
      </c>
      <c r="E49" s="21">
        <v>166.600006103515</v>
      </c>
      <c r="F49" s="21">
        <v>166.83999633789</v>
      </c>
      <c r="G49" s="21">
        <v>165.11000061035099</v>
      </c>
      <c r="H49" s="21">
        <v>165.63000488281199</v>
      </c>
      <c r="I49" s="21">
        <v>165.63000488281199</v>
      </c>
      <c r="J49" s="21">
        <v>46278300</v>
      </c>
      <c r="K49" s="24">
        <f t="shared" si="0"/>
        <v>164.63000488281199</v>
      </c>
      <c r="N49" s="15" t="s">
        <v>27</v>
      </c>
      <c r="O49" s="15"/>
      <c r="P49" s="15"/>
      <c r="Q49" s="15"/>
      <c r="S49" s="22"/>
      <c r="T49" s="21"/>
      <c r="U49" s="21"/>
      <c r="V49" s="21"/>
      <c r="W49" s="21"/>
    </row>
    <row r="50" spans="2:23">
      <c r="B50" t="s">
        <v>23</v>
      </c>
      <c r="C50" s="19" t="s">
        <v>3</v>
      </c>
      <c r="D50" s="20">
        <v>45021</v>
      </c>
      <c r="E50" s="21">
        <v>164.74000549316401</v>
      </c>
      <c r="F50" s="21">
        <v>165.05000305175699</v>
      </c>
      <c r="G50" s="21">
        <v>161.80000305175699</v>
      </c>
      <c r="H50" s="21">
        <v>163.759994506835</v>
      </c>
      <c r="I50" s="21">
        <v>163.759994506835</v>
      </c>
      <c r="J50" s="21">
        <v>51511700</v>
      </c>
      <c r="K50" s="24">
        <f t="shared" si="0"/>
        <v>162.759994506835</v>
      </c>
      <c r="S50" s="22"/>
      <c r="T50" s="21"/>
      <c r="U50" s="21"/>
      <c r="V50" s="21"/>
      <c r="W50" s="21"/>
    </row>
    <row r="51" spans="2:23">
      <c r="B51" t="s">
        <v>23</v>
      </c>
      <c r="C51" s="19" t="s">
        <v>3</v>
      </c>
      <c r="D51" s="20">
        <v>45022</v>
      </c>
      <c r="E51" s="21">
        <v>162.42999267578099</v>
      </c>
      <c r="F51" s="21">
        <v>164.96000671386699</v>
      </c>
      <c r="G51" s="21">
        <v>162</v>
      </c>
      <c r="H51" s="21">
        <v>164.66000366210901</v>
      </c>
      <c r="I51" s="21">
        <v>164.66000366210901</v>
      </c>
      <c r="J51" s="21">
        <v>45390100</v>
      </c>
      <c r="K51" s="24">
        <f t="shared" si="0"/>
        <v>163.66000366210901</v>
      </c>
      <c r="S51" s="22"/>
      <c r="T51" s="21"/>
      <c r="U51" s="21"/>
      <c r="V51" s="21"/>
      <c r="W51" s="21"/>
    </row>
    <row r="52" spans="2:23">
      <c r="B52" t="s">
        <v>23</v>
      </c>
      <c r="C52" s="19" t="s">
        <v>3</v>
      </c>
      <c r="D52" s="20">
        <v>45026</v>
      </c>
      <c r="E52" s="21">
        <v>161.419998168945</v>
      </c>
      <c r="F52" s="21">
        <v>162.02999877929599</v>
      </c>
      <c r="G52" s="21">
        <v>160.08000183105401</v>
      </c>
      <c r="H52" s="21">
        <v>162.02999877929599</v>
      </c>
      <c r="I52" s="21">
        <v>162.02999877929599</v>
      </c>
      <c r="J52" s="21">
        <v>47716900</v>
      </c>
      <c r="K52" s="24">
        <f t="shared" si="0"/>
        <v>161.02999877929599</v>
      </c>
      <c r="S52" s="22"/>
      <c r="T52" s="21"/>
      <c r="U52" s="21"/>
      <c r="V52" s="21"/>
      <c r="W52" s="21"/>
    </row>
    <row r="53" spans="2:23">
      <c r="B53" t="s">
        <v>23</v>
      </c>
      <c r="C53" s="19" t="s">
        <v>3</v>
      </c>
      <c r="D53" s="20">
        <v>45027</v>
      </c>
      <c r="E53" s="21">
        <v>162.350006103515</v>
      </c>
      <c r="F53" s="21">
        <v>162.36000061035099</v>
      </c>
      <c r="G53" s="21">
        <v>160.509994506835</v>
      </c>
      <c r="H53" s="21">
        <v>160.80000305175699</v>
      </c>
      <c r="I53" s="21">
        <v>160.80000305175699</v>
      </c>
      <c r="J53" s="21">
        <v>47644200</v>
      </c>
      <c r="K53" s="24">
        <f t="shared" si="0"/>
        <v>159.80000305175699</v>
      </c>
      <c r="S53" s="22"/>
      <c r="T53" s="21"/>
      <c r="U53" s="21"/>
      <c r="V53" s="21"/>
      <c r="W53" s="21"/>
    </row>
    <row r="54" spans="2:23">
      <c r="B54" t="s">
        <v>23</v>
      </c>
      <c r="C54" s="19" t="s">
        <v>3</v>
      </c>
      <c r="D54" s="20">
        <v>45028</v>
      </c>
      <c r="E54" s="21">
        <v>161.22000122070301</v>
      </c>
      <c r="F54" s="21">
        <v>162.05999755859301</v>
      </c>
      <c r="G54" s="21">
        <v>159.77999877929599</v>
      </c>
      <c r="H54" s="21">
        <v>160.100006103515</v>
      </c>
      <c r="I54" s="21">
        <v>160.100006103515</v>
      </c>
      <c r="J54" s="21">
        <v>50133100</v>
      </c>
      <c r="K54" s="24">
        <f t="shared" si="0"/>
        <v>159.100006103515</v>
      </c>
      <c r="S54" s="22"/>
      <c r="T54" s="21"/>
      <c r="U54" s="21"/>
      <c r="V54" s="21"/>
      <c r="W54" s="21"/>
    </row>
    <row r="55" spans="2:23">
      <c r="B55" t="s">
        <v>23</v>
      </c>
      <c r="C55" s="19" t="s">
        <v>3</v>
      </c>
      <c r="D55" s="20">
        <v>45029</v>
      </c>
      <c r="E55" s="21">
        <v>161.63000488281199</v>
      </c>
      <c r="F55" s="21">
        <v>165.80000305175699</v>
      </c>
      <c r="G55" s="21">
        <v>161.419998168945</v>
      </c>
      <c r="H55" s="21">
        <v>165.55999755859301</v>
      </c>
      <c r="I55" s="21">
        <v>165.55999755859301</v>
      </c>
      <c r="J55" s="21">
        <v>68445600</v>
      </c>
      <c r="K55" s="24">
        <f t="shared" si="0"/>
        <v>164.55999755859301</v>
      </c>
      <c r="S55" s="22"/>
      <c r="T55" s="21"/>
      <c r="U55" s="21"/>
      <c r="V55" s="21"/>
      <c r="W55" s="21"/>
    </row>
    <row r="56" spans="2:23">
      <c r="B56" t="s">
        <v>23</v>
      </c>
      <c r="C56" s="19" t="s">
        <v>3</v>
      </c>
      <c r="D56" s="20">
        <v>45030</v>
      </c>
      <c r="E56" s="21">
        <v>164.58999633789</v>
      </c>
      <c r="F56" s="21">
        <v>166.32000732421801</v>
      </c>
      <c r="G56" s="21">
        <v>163.82000732421801</v>
      </c>
      <c r="H56" s="21">
        <v>165.21000671386699</v>
      </c>
      <c r="I56" s="21">
        <v>165.21000671386699</v>
      </c>
      <c r="J56" s="21">
        <v>49386500</v>
      </c>
      <c r="K56" s="24">
        <f t="shared" si="0"/>
        <v>164.21000671386699</v>
      </c>
      <c r="S56" s="22"/>
      <c r="T56" s="21"/>
      <c r="U56" s="21"/>
      <c r="V56" s="21"/>
      <c r="W56" s="21"/>
    </row>
    <row r="57" spans="2:23">
      <c r="B57" t="s">
        <v>23</v>
      </c>
      <c r="C57" s="19" t="s">
        <v>3</v>
      </c>
      <c r="D57" s="20">
        <v>45033</v>
      </c>
      <c r="E57" s="21">
        <v>165.08999633789</v>
      </c>
      <c r="F57" s="21">
        <v>165.38999938964801</v>
      </c>
      <c r="G57" s="21">
        <v>164.02999877929599</v>
      </c>
      <c r="H57" s="21">
        <v>165.22999572753901</v>
      </c>
      <c r="I57" s="21">
        <v>165.22999572753901</v>
      </c>
      <c r="J57" s="21">
        <v>41516200</v>
      </c>
      <c r="K57" s="24">
        <f t="shared" si="0"/>
        <v>164.22999572753901</v>
      </c>
      <c r="S57" s="22"/>
      <c r="T57" s="21"/>
      <c r="U57" s="21"/>
      <c r="V57" s="21"/>
      <c r="W57" s="21"/>
    </row>
    <row r="58" spans="2:23">
      <c r="B58" t="s">
        <v>23</v>
      </c>
      <c r="C58" s="19" t="s">
        <v>3</v>
      </c>
      <c r="D58" s="20">
        <v>45034</v>
      </c>
      <c r="E58" s="21">
        <v>166.100006103515</v>
      </c>
      <c r="F58" s="21">
        <v>167.41000366210901</v>
      </c>
      <c r="G58" s="21">
        <v>165.64999389648401</v>
      </c>
      <c r="H58" s="21">
        <v>166.47000122070301</v>
      </c>
      <c r="I58" s="21">
        <v>166.47000122070301</v>
      </c>
      <c r="J58" s="21">
        <v>49923000</v>
      </c>
      <c r="K58" s="24">
        <f t="shared" si="0"/>
        <v>165.47000122070301</v>
      </c>
      <c r="S58" s="22"/>
      <c r="T58" s="21"/>
      <c r="U58" s="21"/>
      <c r="V58" s="21"/>
      <c r="W58" s="21"/>
    </row>
    <row r="59" spans="2:23">
      <c r="B59" t="s">
        <v>23</v>
      </c>
      <c r="C59" s="19" t="s">
        <v>3</v>
      </c>
      <c r="D59" s="20">
        <v>45035</v>
      </c>
      <c r="E59" s="21">
        <v>165.80000305175699</v>
      </c>
      <c r="F59" s="21">
        <v>168.16000366210901</v>
      </c>
      <c r="G59" s="21">
        <v>165.53999328613199</v>
      </c>
      <c r="H59" s="21">
        <v>167.63000488281199</v>
      </c>
      <c r="I59" s="21">
        <v>167.63000488281199</v>
      </c>
      <c r="J59" s="21">
        <v>47720200</v>
      </c>
      <c r="K59" s="24">
        <f t="shared" si="0"/>
        <v>166.63000488281199</v>
      </c>
      <c r="S59" s="22"/>
      <c r="T59" s="21"/>
      <c r="U59" s="21"/>
      <c r="V59" s="21"/>
      <c r="W59" s="21"/>
    </row>
    <row r="60" spans="2:23">
      <c r="B60" t="s">
        <v>23</v>
      </c>
      <c r="C60" s="19" t="s">
        <v>3</v>
      </c>
      <c r="D60" s="20">
        <v>45036</v>
      </c>
      <c r="E60" s="21">
        <v>166.08999633789</v>
      </c>
      <c r="F60" s="21">
        <v>167.86999511718699</v>
      </c>
      <c r="G60" s="21">
        <v>165.55999755859301</v>
      </c>
      <c r="H60" s="21">
        <v>166.64999389648401</v>
      </c>
      <c r="I60" s="21">
        <v>166.64999389648401</v>
      </c>
      <c r="J60" s="21">
        <v>52456400</v>
      </c>
      <c r="K60" s="24">
        <f t="shared" si="0"/>
        <v>165.64999389648401</v>
      </c>
      <c r="S60" s="22"/>
      <c r="T60" s="21"/>
      <c r="U60" s="21"/>
      <c r="V60" s="21"/>
      <c r="W60" s="21"/>
    </row>
    <row r="61" spans="2:23">
      <c r="B61" t="s">
        <v>23</v>
      </c>
      <c r="C61" s="19" t="s">
        <v>3</v>
      </c>
      <c r="D61" s="20">
        <v>45037</v>
      </c>
      <c r="E61" s="21">
        <v>165.05000305175699</v>
      </c>
      <c r="F61" s="21">
        <v>166.44999694824199</v>
      </c>
      <c r="G61" s="21">
        <v>164.49000549316401</v>
      </c>
      <c r="H61" s="21">
        <v>165.02000427246</v>
      </c>
      <c r="I61" s="21">
        <v>165.02000427246</v>
      </c>
      <c r="J61" s="21">
        <v>58337300</v>
      </c>
      <c r="K61" s="24">
        <f t="shared" si="0"/>
        <v>164.02000427246</v>
      </c>
      <c r="S61" s="22"/>
      <c r="T61" s="21"/>
      <c r="U61" s="21"/>
      <c r="V61" s="21"/>
      <c r="W61" s="21"/>
    </row>
    <row r="62" spans="2:23">
      <c r="B62" t="s">
        <v>23</v>
      </c>
      <c r="C62" s="19" t="s">
        <v>3</v>
      </c>
      <c r="D62" s="20">
        <v>45040</v>
      </c>
      <c r="E62" s="21">
        <v>165</v>
      </c>
      <c r="F62" s="21">
        <v>165.600006103515</v>
      </c>
      <c r="G62" s="21">
        <v>163.88999938964801</v>
      </c>
      <c r="H62" s="21">
        <v>165.33000183105401</v>
      </c>
      <c r="I62" s="21">
        <v>165.33000183105401</v>
      </c>
      <c r="J62" s="21">
        <v>41949600</v>
      </c>
      <c r="K62" s="24">
        <f t="shared" si="0"/>
        <v>164.33000183105401</v>
      </c>
      <c r="S62" s="22"/>
      <c r="T62" s="21"/>
      <c r="U62" s="21"/>
      <c r="V62" s="21"/>
      <c r="W62" s="21"/>
    </row>
    <row r="63" spans="2:23">
      <c r="B63" t="s">
        <v>23</v>
      </c>
      <c r="C63" s="19" t="s">
        <v>3</v>
      </c>
      <c r="D63" s="20">
        <v>45041</v>
      </c>
      <c r="E63" s="21">
        <v>165.19000244140599</v>
      </c>
      <c r="F63" s="21">
        <v>166.30999755859301</v>
      </c>
      <c r="G63" s="21">
        <v>163.72999572753901</v>
      </c>
      <c r="H63" s="21">
        <v>163.77000427246</v>
      </c>
      <c r="I63" s="21">
        <v>163.77000427246</v>
      </c>
      <c r="J63" s="21">
        <v>48714100</v>
      </c>
      <c r="K63" s="24">
        <f t="shared" si="0"/>
        <v>162.77000427246</v>
      </c>
      <c r="S63" s="22"/>
      <c r="T63" s="21"/>
      <c r="U63" s="21"/>
      <c r="V63" s="21"/>
      <c r="W63" s="21"/>
    </row>
    <row r="64" spans="2:23">
      <c r="B64" t="s">
        <v>23</v>
      </c>
      <c r="C64" s="19" t="s">
        <v>3</v>
      </c>
      <c r="D64" s="20">
        <v>45042</v>
      </c>
      <c r="E64" s="21">
        <v>163.05999755859301</v>
      </c>
      <c r="F64" s="21">
        <v>165.27999877929599</v>
      </c>
      <c r="G64" s="21">
        <v>162.80000305175699</v>
      </c>
      <c r="H64" s="21">
        <v>163.759994506835</v>
      </c>
      <c r="I64" s="21">
        <v>163.759994506835</v>
      </c>
      <c r="J64" s="21">
        <v>45498800</v>
      </c>
      <c r="K64" s="24">
        <f t="shared" si="0"/>
        <v>162.759994506835</v>
      </c>
      <c r="S64" s="22"/>
      <c r="T64" s="21"/>
      <c r="U64" s="21"/>
      <c r="V64" s="21"/>
      <c r="W64" s="21"/>
    </row>
    <row r="65" spans="2:23">
      <c r="B65" t="s">
        <v>23</v>
      </c>
      <c r="C65" s="19" t="s">
        <v>3</v>
      </c>
      <c r="D65" s="20">
        <v>45043</v>
      </c>
      <c r="E65" s="21">
        <v>165.19000244140599</v>
      </c>
      <c r="F65" s="21">
        <v>168.55999755859301</v>
      </c>
      <c r="G65" s="21">
        <v>165.19000244140599</v>
      </c>
      <c r="H65" s="21">
        <v>168.41000366210901</v>
      </c>
      <c r="I65" s="21">
        <v>168.41000366210901</v>
      </c>
      <c r="J65" s="21">
        <v>64902300</v>
      </c>
      <c r="K65" s="24">
        <f t="shared" si="0"/>
        <v>167.41000366210901</v>
      </c>
      <c r="S65" s="22"/>
      <c r="T65" s="21"/>
      <c r="U65" s="21"/>
      <c r="V65" s="21"/>
      <c r="W65" s="21"/>
    </row>
    <row r="66" spans="2:23">
      <c r="B66" t="s">
        <v>23</v>
      </c>
      <c r="C66" s="19" t="s">
        <v>3</v>
      </c>
      <c r="D66" s="20">
        <v>45044</v>
      </c>
      <c r="E66" s="21">
        <v>168.49000549316401</v>
      </c>
      <c r="F66" s="21">
        <v>169.850006103515</v>
      </c>
      <c r="G66" s="21">
        <v>167.88000488281199</v>
      </c>
      <c r="H66" s="21">
        <v>169.67999267578099</v>
      </c>
      <c r="I66" s="21">
        <v>169.67999267578099</v>
      </c>
      <c r="J66" s="21">
        <v>55209200</v>
      </c>
      <c r="K66" s="24">
        <f t="shared" si="0"/>
        <v>168.67999267578099</v>
      </c>
      <c r="S66" s="22"/>
      <c r="T66" s="21"/>
      <c r="U66" s="21"/>
      <c r="V66" s="21"/>
      <c r="W66" s="21"/>
    </row>
    <row r="67" spans="2:23">
      <c r="B67" t="s">
        <v>23</v>
      </c>
      <c r="C67" s="19" t="s">
        <v>3</v>
      </c>
      <c r="D67" s="20">
        <v>45047</v>
      </c>
      <c r="E67" s="21">
        <v>169.27999877929599</v>
      </c>
      <c r="F67" s="21">
        <v>170.44999694824199</v>
      </c>
      <c r="G67" s="21">
        <v>168.63999938964801</v>
      </c>
      <c r="H67" s="21">
        <v>169.58999633789</v>
      </c>
      <c r="I67" s="21">
        <v>169.58999633789</v>
      </c>
      <c r="J67" s="21">
        <v>52472900</v>
      </c>
      <c r="K67" s="24">
        <f t="shared" si="0"/>
        <v>168.58999633789</v>
      </c>
      <c r="S67" s="22"/>
      <c r="T67" s="21"/>
      <c r="U67" s="21"/>
      <c r="V67" s="21"/>
      <c r="W67" s="21"/>
    </row>
    <row r="68" spans="2:23">
      <c r="B68" t="s">
        <v>23</v>
      </c>
      <c r="C68" s="19" t="s">
        <v>3</v>
      </c>
      <c r="D68" s="20">
        <v>45048</v>
      </c>
      <c r="E68" s="21">
        <v>170.08999633789</v>
      </c>
      <c r="F68" s="21">
        <v>170.350006103515</v>
      </c>
      <c r="G68" s="21">
        <v>167.53999328613199</v>
      </c>
      <c r="H68" s="21">
        <v>168.53999328613199</v>
      </c>
      <c r="I68" s="21">
        <v>168.53999328613199</v>
      </c>
      <c r="J68" s="21">
        <v>48425700</v>
      </c>
      <c r="K68" s="24">
        <f t="shared" si="0"/>
        <v>167.53999328613199</v>
      </c>
      <c r="S68" s="22"/>
      <c r="T68" s="21"/>
      <c r="U68" s="21"/>
      <c r="V68" s="21"/>
      <c r="W68" s="21"/>
    </row>
    <row r="69" spans="2:23">
      <c r="B69" t="s">
        <v>23</v>
      </c>
      <c r="C69" s="19" t="s">
        <v>3</v>
      </c>
      <c r="D69" s="20">
        <v>45049</v>
      </c>
      <c r="E69" s="21">
        <v>169.5</v>
      </c>
      <c r="F69" s="21">
        <v>170.919998168945</v>
      </c>
      <c r="G69" s="21">
        <v>167.16000366210901</v>
      </c>
      <c r="H69" s="21">
        <v>167.44999694824199</v>
      </c>
      <c r="I69" s="21">
        <v>167.44999694824199</v>
      </c>
      <c r="J69" s="21">
        <v>65136000</v>
      </c>
      <c r="K69" s="24">
        <f t="shared" si="0"/>
        <v>166.44999694824199</v>
      </c>
      <c r="S69" s="22"/>
      <c r="T69" s="21"/>
      <c r="U69" s="21"/>
      <c r="V69" s="21"/>
      <c r="W69" s="21"/>
    </row>
    <row r="70" spans="2:23">
      <c r="B70" t="s">
        <v>23</v>
      </c>
      <c r="C70" s="19" t="s">
        <v>3</v>
      </c>
      <c r="D70" s="20">
        <v>45050</v>
      </c>
      <c r="E70" s="21">
        <v>164.88999938964801</v>
      </c>
      <c r="F70" s="21">
        <v>167.03999328613199</v>
      </c>
      <c r="G70" s="21">
        <v>164.30999755859301</v>
      </c>
      <c r="H70" s="21">
        <v>165.78999328613199</v>
      </c>
      <c r="I70" s="21">
        <v>165.78999328613199</v>
      </c>
      <c r="J70" s="21">
        <v>81235400</v>
      </c>
      <c r="K70" s="24">
        <f t="shared" si="0"/>
        <v>164.78999328613199</v>
      </c>
      <c r="S70" s="22"/>
      <c r="T70" s="21"/>
      <c r="U70" s="21"/>
      <c r="V70" s="21"/>
      <c r="W70" s="21"/>
    </row>
    <row r="71" spans="2:23">
      <c r="B71" t="s">
        <v>23</v>
      </c>
      <c r="C71" s="19" t="s">
        <v>3</v>
      </c>
      <c r="D71" s="20">
        <v>45051</v>
      </c>
      <c r="E71" s="21">
        <v>170.97999572753901</v>
      </c>
      <c r="F71" s="21">
        <v>174.30000305175699</v>
      </c>
      <c r="G71" s="21">
        <v>170.759994506835</v>
      </c>
      <c r="H71" s="21">
        <v>173.57000732421801</v>
      </c>
      <c r="I71" s="21">
        <v>173.57000732421801</v>
      </c>
      <c r="J71" s="21">
        <v>113316400</v>
      </c>
      <c r="K71" s="24">
        <f t="shared" si="0"/>
        <v>172.57000732421801</v>
      </c>
      <c r="S71" s="22"/>
      <c r="T71" s="21"/>
      <c r="U71" s="21"/>
      <c r="V71" s="21"/>
      <c r="W71" s="21"/>
    </row>
    <row r="72" spans="2:23" s="6" customFormat="1">
      <c r="C72" s="36"/>
      <c r="D72" s="37"/>
      <c r="E72" s="38"/>
      <c r="F72" s="38"/>
      <c r="G72" s="38"/>
      <c r="H72" s="38"/>
      <c r="I72" s="49"/>
      <c r="J72" s="49"/>
      <c r="K72" s="49"/>
      <c r="S72" s="39"/>
      <c r="T72" s="38"/>
      <c r="U72" s="38"/>
      <c r="V72" s="38"/>
      <c r="W72" s="38"/>
    </row>
    <row r="73" spans="2:23" ht="16.5">
      <c r="B73" s="47"/>
      <c r="C73" s="53"/>
      <c r="D73" s="54"/>
      <c r="E73" s="57"/>
      <c r="F73" s="57"/>
      <c r="G73" s="49"/>
      <c r="H73" s="49"/>
      <c r="I73" s="49"/>
      <c r="J73" s="49"/>
      <c r="K73" s="49"/>
      <c r="L73" s="6"/>
      <c r="M73" s="6"/>
      <c r="N73" s="6"/>
      <c r="O73" s="6"/>
      <c r="P73" s="6"/>
      <c r="Q73" s="6"/>
      <c r="R73" s="6"/>
      <c r="S73" s="8"/>
      <c r="T73" s="6"/>
    </row>
    <row r="74" spans="2:23" s="6" customFormat="1">
      <c r="B74" s="55"/>
      <c r="C74" s="48"/>
      <c r="D74" s="48"/>
      <c r="E74" s="48"/>
      <c r="F74" s="48"/>
      <c r="G74" s="48"/>
      <c r="H74" s="48"/>
      <c r="I74" s="48"/>
      <c r="J74" s="48"/>
      <c r="K74" s="48"/>
      <c r="N74" s="58"/>
      <c r="O74" s="58"/>
      <c r="P74" s="58"/>
      <c r="S74" s="8"/>
    </row>
    <row r="75" spans="2:23">
      <c r="B75" s="47"/>
      <c r="C75" s="48"/>
      <c r="D75" s="48"/>
      <c r="E75" s="48"/>
      <c r="F75" s="48"/>
      <c r="G75" s="48"/>
      <c r="H75" s="48"/>
      <c r="I75" s="48"/>
      <c r="J75" s="48"/>
      <c r="K75" s="48"/>
      <c r="L75" s="6"/>
      <c r="M75" s="6"/>
      <c r="N75" s="47"/>
      <c r="O75" s="47"/>
      <c r="P75" s="47"/>
      <c r="Q75" s="6"/>
      <c r="R75" s="6"/>
      <c r="S75" s="8"/>
      <c r="T75" s="6"/>
    </row>
    <row r="76" spans="2:23">
      <c r="B76" s="6"/>
      <c r="C76" s="36"/>
      <c r="D76" s="37"/>
      <c r="E76" s="38"/>
      <c r="F76" s="38"/>
      <c r="G76" s="38"/>
      <c r="H76" s="38"/>
      <c r="I76" s="49"/>
      <c r="J76" s="49"/>
      <c r="K76" s="49"/>
      <c r="L76" s="6"/>
      <c r="M76" s="6"/>
      <c r="N76" s="47"/>
      <c r="O76" s="47"/>
      <c r="P76" s="47"/>
      <c r="Q76" s="6"/>
      <c r="R76" s="6"/>
      <c r="S76" s="8"/>
      <c r="T76" s="6"/>
    </row>
    <row r="77" spans="2:23">
      <c r="B77" s="6"/>
      <c r="C77" s="36"/>
      <c r="D77" s="37"/>
      <c r="E77" s="38"/>
      <c r="F77" s="38"/>
      <c r="G77" s="38"/>
      <c r="H77" s="38"/>
      <c r="I77" s="49"/>
      <c r="J77" s="49"/>
      <c r="K77" s="49"/>
      <c r="L77" s="6"/>
      <c r="M77" s="6"/>
      <c r="N77" s="47"/>
      <c r="O77" s="47"/>
      <c r="P77" s="47"/>
      <c r="Q77" s="6"/>
      <c r="R77" s="6"/>
      <c r="S77" s="8"/>
      <c r="T77" s="6"/>
    </row>
    <row r="78" spans="2:23">
      <c r="B78" s="6"/>
      <c r="C78" s="36"/>
      <c r="D78" s="37"/>
      <c r="E78" s="38"/>
      <c r="F78" s="38"/>
      <c r="G78" s="38"/>
      <c r="H78" s="38"/>
      <c r="I78" s="49"/>
      <c r="J78" s="49"/>
      <c r="K78" s="49"/>
      <c r="L78" s="6"/>
      <c r="M78" s="6"/>
      <c r="N78" s="47"/>
      <c r="O78" s="47"/>
      <c r="P78" s="47"/>
      <c r="Q78" s="6"/>
      <c r="R78" s="6"/>
      <c r="S78" s="8"/>
      <c r="T78" s="6"/>
    </row>
    <row r="79" spans="2:23">
      <c r="B79" s="6"/>
      <c r="C79" s="36"/>
      <c r="D79" s="37"/>
      <c r="E79" s="38"/>
      <c r="F79" s="38"/>
      <c r="G79" s="38"/>
      <c r="H79" s="38"/>
      <c r="I79" s="49"/>
      <c r="J79" s="49"/>
      <c r="K79" s="49"/>
      <c r="L79" s="47"/>
      <c r="M79" s="47"/>
      <c r="N79" s="47"/>
      <c r="O79" s="47"/>
      <c r="P79" s="6"/>
      <c r="Q79" s="6"/>
      <c r="R79" s="6"/>
      <c r="S79" s="8"/>
      <c r="T79" s="6"/>
    </row>
    <row r="80" spans="2:23">
      <c r="B80" s="6"/>
      <c r="C80" s="36"/>
      <c r="D80" s="37"/>
      <c r="E80" s="38"/>
      <c r="F80" s="38"/>
      <c r="G80" s="38"/>
      <c r="H80" s="38"/>
      <c r="I80" s="38"/>
      <c r="J80" s="38"/>
      <c r="K80" s="38"/>
      <c r="L80" s="47"/>
      <c r="M80" s="47"/>
      <c r="N80" s="47"/>
      <c r="O80" s="47"/>
      <c r="P80" s="6"/>
      <c r="Q80" s="6"/>
      <c r="R80" s="6"/>
      <c r="S80" s="8"/>
      <c r="T80" s="6"/>
    </row>
    <row r="81" spans="2:20">
      <c r="B81" s="6"/>
      <c r="C81" s="36"/>
      <c r="D81" s="37"/>
      <c r="E81" s="38"/>
      <c r="F81" s="38"/>
      <c r="G81" s="38"/>
      <c r="H81" s="38"/>
      <c r="I81" s="38"/>
      <c r="J81" s="38"/>
      <c r="K81" s="38"/>
      <c r="L81" s="47"/>
      <c r="M81" s="47"/>
      <c r="N81" s="47"/>
      <c r="O81" s="47"/>
      <c r="P81" s="6"/>
      <c r="Q81" s="6"/>
      <c r="R81" s="6"/>
      <c r="S81" s="8"/>
      <c r="T81" s="6"/>
    </row>
    <row r="82" spans="2:20">
      <c r="B82" s="6"/>
      <c r="C82" s="36"/>
      <c r="D82" s="37"/>
      <c r="E82" s="38"/>
      <c r="F82" s="38"/>
      <c r="G82" s="38"/>
      <c r="H82" s="38"/>
      <c r="I82" s="38"/>
      <c r="J82" s="38"/>
      <c r="K82" s="38"/>
      <c r="L82" s="47"/>
      <c r="M82" s="47"/>
      <c r="N82" s="47"/>
      <c r="O82" s="47"/>
      <c r="P82" s="6"/>
      <c r="Q82" s="6"/>
      <c r="R82" s="6"/>
      <c r="S82" s="8"/>
      <c r="T82" s="6"/>
    </row>
    <row r="83" spans="2:20">
      <c r="B83" s="6"/>
      <c r="C83" s="36"/>
      <c r="D83" s="37"/>
      <c r="E83" s="38"/>
      <c r="F83" s="38"/>
      <c r="G83" s="38"/>
      <c r="H83" s="38"/>
      <c r="I83" s="38"/>
      <c r="J83" s="38"/>
      <c r="K83" s="38"/>
      <c r="L83" s="47"/>
      <c r="M83" s="47"/>
      <c r="N83" s="47"/>
      <c r="O83" s="47"/>
      <c r="P83" s="6"/>
      <c r="Q83" s="6"/>
      <c r="R83" s="6"/>
      <c r="S83" s="8"/>
      <c r="T83" s="6"/>
    </row>
    <row r="84" spans="2:20">
      <c r="B84" s="6"/>
      <c r="C84" s="36"/>
      <c r="D84" s="37"/>
      <c r="E84" s="38"/>
      <c r="F84" s="38"/>
      <c r="G84" s="38"/>
      <c r="H84" s="38"/>
      <c r="I84" s="38"/>
      <c r="J84" s="38"/>
      <c r="K84" s="38"/>
      <c r="L84" s="47"/>
      <c r="M84" s="47"/>
      <c r="N84" s="47"/>
      <c r="O84" s="47"/>
      <c r="P84" s="6"/>
      <c r="Q84" s="6"/>
      <c r="R84" s="6"/>
      <c r="S84" s="8"/>
      <c r="T84" s="6"/>
    </row>
    <row r="85" spans="2:20">
      <c r="B85" s="6"/>
      <c r="C85" s="36"/>
      <c r="D85" s="37"/>
      <c r="E85" s="38"/>
      <c r="F85" s="38"/>
      <c r="G85" s="38"/>
      <c r="H85" s="38"/>
      <c r="I85" s="38"/>
      <c r="J85" s="38"/>
      <c r="K85" s="38"/>
      <c r="L85" s="47"/>
      <c r="M85" s="47"/>
      <c r="N85" s="47"/>
      <c r="O85" s="47"/>
      <c r="P85" s="6"/>
      <c r="Q85" s="6"/>
      <c r="R85" s="6"/>
      <c r="S85" s="8"/>
      <c r="T85" s="6"/>
    </row>
    <row r="86" spans="2:20">
      <c r="B86" s="6"/>
      <c r="C86" s="36"/>
      <c r="D86" s="37"/>
      <c r="E86" s="38"/>
      <c r="F86" s="38"/>
      <c r="G86" s="38"/>
      <c r="H86" s="38"/>
      <c r="I86" s="38"/>
      <c r="J86" s="38"/>
      <c r="K86" s="38"/>
      <c r="L86" s="47"/>
      <c r="M86" s="47"/>
      <c r="N86" s="47"/>
      <c r="O86" s="47"/>
      <c r="P86" s="6"/>
      <c r="Q86" s="6"/>
      <c r="R86" s="6"/>
      <c r="S86" s="8"/>
      <c r="T86" s="6"/>
    </row>
    <row r="87" spans="2:20">
      <c r="B87" s="6"/>
      <c r="C87" s="36"/>
      <c r="D87" s="37"/>
      <c r="E87" s="38"/>
      <c r="F87" s="38"/>
      <c r="G87" s="38"/>
      <c r="H87" s="38"/>
      <c r="I87" s="38"/>
      <c r="J87" s="38"/>
      <c r="K87" s="38"/>
      <c r="L87" s="47"/>
      <c r="M87" s="47"/>
      <c r="N87" s="47"/>
      <c r="O87" s="47"/>
      <c r="P87" s="6"/>
      <c r="Q87" s="6"/>
      <c r="R87" s="6"/>
      <c r="S87" s="8"/>
      <c r="T87" s="6"/>
    </row>
    <row r="88" spans="2:20">
      <c r="B88" s="6"/>
      <c r="C88" s="36"/>
      <c r="D88" s="37"/>
      <c r="E88" s="38"/>
      <c r="F88" s="38"/>
      <c r="G88" s="38"/>
      <c r="H88" s="38"/>
      <c r="I88" s="38"/>
      <c r="J88" s="38"/>
      <c r="K88" s="38"/>
      <c r="L88" s="6"/>
      <c r="M88" s="6"/>
      <c r="N88" s="6"/>
      <c r="O88" s="6"/>
      <c r="P88" s="6"/>
      <c r="Q88" s="6"/>
      <c r="R88" s="6"/>
      <c r="S88" s="8"/>
      <c r="T88" s="6"/>
    </row>
    <row r="89" spans="2:20">
      <c r="B89" s="6"/>
      <c r="C89" s="36"/>
      <c r="D89" s="37"/>
      <c r="E89" s="38"/>
      <c r="F89" s="38"/>
      <c r="G89" s="38"/>
      <c r="H89" s="38"/>
      <c r="I89" s="38"/>
      <c r="J89" s="38"/>
      <c r="K89" s="38"/>
      <c r="L89" s="6"/>
      <c r="M89" s="6"/>
      <c r="N89" s="6"/>
      <c r="O89" s="6"/>
      <c r="P89" s="6"/>
      <c r="Q89" s="6"/>
      <c r="R89" s="6"/>
      <c r="S89" s="8"/>
      <c r="T89" s="6"/>
    </row>
    <row r="90" spans="2:20">
      <c r="B90" s="6"/>
      <c r="C90" s="36"/>
      <c r="D90" s="37"/>
      <c r="E90" s="38"/>
      <c r="F90" s="38"/>
      <c r="G90" s="38"/>
      <c r="H90" s="38"/>
      <c r="I90" s="38"/>
      <c r="J90" s="38"/>
      <c r="K90" s="38"/>
      <c r="L90" s="6"/>
      <c r="M90" s="6"/>
      <c r="N90" s="6"/>
      <c r="O90" s="6"/>
      <c r="P90" s="6"/>
      <c r="Q90" s="6"/>
      <c r="R90" s="6"/>
      <c r="S90" s="8"/>
      <c r="T90" s="6"/>
    </row>
    <row r="91" spans="2:20">
      <c r="B91" s="6"/>
      <c r="C91" s="36"/>
      <c r="D91" s="37"/>
      <c r="E91" s="38"/>
      <c r="F91" s="38"/>
      <c r="G91" s="38"/>
      <c r="H91" s="38"/>
      <c r="I91" s="38"/>
      <c r="J91" s="38"/>
      <c r="K91" s="38"/>
      <c r="L91" s="6"/>
      <c r="M91" s="6"/>
      <c r="N91" s="6"/>
      <c r="O91" s="6"/>
      <c r="P91" s="6"/>
      <c r="Q91" s="6"/>
      <c r="R91" s="6"/>
      <c r="S91" s="8"/>
      <c r="T91" s="6"/>
    </row>
    <row r="92" spans="2:20">
      <c r="B92" s="6"/>
      <c r="C92" s="36"/>
      <c r="D92" s="37"/>
      <c r="E92" s="38"/>
      <c r="F92" s="38"/>
      <c r="G92" s="38"/>
      <c r="H92" s="38"/>
      <c r="I92" s="38"/>
      <c r="J92" s="38"/>
      <c r="K92" s="38"/>
      <c r="L92" s="6"/>
      <c r="M92" s="6"/>
      <c r="N92" s="6"/>
      <c r="O92" s="6"/>
      <c r="P92" s="6"/>
      <c r="Q92" s="6"/>
      <c r="R92" s="6"/>
      <c r="S92" s="8"/>
      <c r="T92" s="6"/>
    </row>
    <row r="93" spans="2:20">
      <c r="B93" s="6"/>
      <c r="C93" s="36"/>
      <c r="D93" s="37"/>
      <c r="E93" s="38"/>
      <c r="F93" s="38"/>
      <c r="G93" s="38"/>
      <c r="H93" s="38"/>
      <c r="I93" s="38"/>
      <c r="J93" s="38"/>
      <c r="K93" s="38"/>
      <c r="L93" s="6"/>
      <c r="M93" s="6"/>
      <c r="N93" s="59"/>
      <c r="O93" s="59"/>
      <c r="P93" s="59"/>
      <c r="Q93" s="6"/>
      <c r="R93" s="6"/>
      <c r="S93" s="8"/>
      <c r="T93" s="6"/>
    </row>
    <row r="94" spans="2:20">
      <c r="B94" s="6"/>
      <c r="C94" s="36"/>
      <c r="D94" s="37"/>
      <c r="E94" s="38"/>
      <c r="F94" s="38"/>
      <c r="G94" s="38"/>
      <c r="H94" s="38"/>
      <c r="I94" s="38"/>
      <c r="J94" s="38"/>
      <c r="K94" s="38"/>
      <c r="L94" s="6"/>
      <c r="M94" s="6"/>
      <c r="N94" s="6"/>
      <c r="O94" s="6"/>
      <c r="P94" s="6"/>
      <c r="Q94" s="6"/>
      <c r="R94" s="6"/>
      <c r="S94" s="8"/>
      <c r="T94" s="6"/>
    </row>
    <row r="95" spans="2:20">
      <c r="B95" s="6"/>
      <c r="C95" s="36"/>
      <c r="D95" s="37"/>
      <c r="E95" s="38"/>
      <c r="F95" s="38"/>
      <c r="G95" s="38"/>
      <c r="H95" s="38"/>
      <c r="I95" s="38"/>
      <c r="J95" s="38"/>
      <c r="K95" s="38"/>
      <c r="L95" s="6"/>
      <c r="M95" s="6"/>
      <c r="N95" s="6"/>
      <c r="O95" s="6"/>
      <c r="P95" s="6"/>
      <c r="Q95" s="6"/>
      <c r="R95" s="6"/>
      <c r="S95" s="8"/>
      <c r="T95" s="6"/>
    </row>
    <row r="96" spans="2:20">
      <c r="B96" s="6"/>
      <c r="C96" s="36"/>
      <c r="D96" s="37"/>
      <c r="E96" s="38"/>
      <c r="F96" s="38"/>
      <c r="G96" s="38"/>
      <c r="H96" s="38"/>
      <c r="I96" s="38"/>
      <c r="J96" s="38"/>
      <c r="K96" s="38"/>
      <c r="L96" s="6"/>
      <c r="M96" s="6"/>
      <c r="N96" s="6"/>
      <c r="O96" s="6"/>
      <c r="P96" s="6"/>
      <c r="Q96" s="6"/>
      <c r="R96" s="6"/>
      <c r="S96" s="8"/>
      <c r="T96" s="6"/>
    </row>
    <row r="97" spans="2:20">
      <c r="B97" s="6"/>
      <c r="C97" s="36"/>
      <c r="D97" s="37"/>
      <c r="E97" s="38"/>
      <c r="F97" s="38"/>
      <c r="G97" s="38"/>
      <c r="H97" s="38"/>
      <c r="I97" s="38"/>
      <c r="J97" s="38"/>
      <c r="K97" s="38"/>
      <c r="L97" s="6"/>
      <c r="M97" s="6"/>
      <c r="N97" s="6"/>
      <c r="O97" s="6"/>
      <c r="P97" s="6"/>
      <c r="Q97" s="6"/>
      <c r="R97" s="6"/>
      <c r="S97" s="8"/>
      <c r="T97" s="6"/>
    </row>
    <row r="98" spans="2:20">
      <c r="B98" s="6"/>
      <c r="C98" s="36"/>
      <c r="D98" s="37"/>
      <c r="E98" s="38"/>
      <c r="F98" s="38"/>
      <c r="G98" s="38"/>
      <c r="H98" s="38"/>
      <c r="I98" s="38"/>
      <c r="J98" s="38"/>
      <c r="K98" s="38"/>
      <c r="L98" s="6"/>
      <c r="M98" s="6"/>
      <c r="N98" s="6"/>
      <c r="O98" s="6"/>
      <c r="P98" s="6"/>
      <c r="Q98" s="6"/>
      <c r="R98" s="6"/>
      <c r="S98" s="8"/>
      <c r="T98" s="6"/>
    </row>
    <row r="99" spans="2:20">
      <c r="B99" s="6"/>
      <c r="C99" s="36"/>
      <c r="D99" s="37"/>
      <c r="E99" s="38"/>
      <c r="F99" s="38"/>
      <c r="G99" s="38"/>
      <c r="H99" s="38"/>
      <c r="I99" s="38"/>
      <c r="J99" s="38"/>
      <c r="K99" s="38"/>
      <c r="L99" s="6"/>
      <c r="M99" s="6"/>
      <c r="N99" s="6"/>
      <c r="O99" s="6"/>
      <c r="P99" s="6"/>
      <c r="Q99" s="6"/>
      <c r="R99" s="6"/>
      <c r="S99" s="8"/>
      <c r="T99" s="6"/>
    </row>
    <row r="100" spans="2:20">
      <c r="B100" s="6"/>
      <c r="C100" s="36"/>
      <c r="D100" s="37"/>
      <c r="E100" s="38"/>
      <c r="F100" s="38"/>
      <c r="G100" s="38"/>
      <c r="H100" s="38"/>
      <c r="I100" s="38"/>
      <c r="J100" s="38"/>
      <c r="K100" s="38"/>
      <c r="L100" s="6"/>
      <c r="M100" s="6"/>
      <c r="N100" s="6"/>
      <c r="O100" s="6"/>
      <c r="P100" s="6"/>
      <c r="Q100" s="6"/>
      <c r="R100" s="6"/>
      <c r="S100" s="8"/>
      <c r="T100" s="6"/>
    </row>
    <row r="101" spans="2:20">
      <c r="B101" s="6"/>
      <c r="C101" s="36"/>
      <c r="D101" s="37"/>
      <c r="E101" s="38"/>
      <c r="F101" s="38"/>
      <c r="G101" s="38"/>
      <c r="H101" s="38"/>
      <c r="I101" s="38"/>
      <c r="J101" s="38"/>
      <c r="K101" s="38"/>
      <c r="L101" s="6"/>
      <c r="M101" s="6"/>
      <c r="N101" s="6"/>
      <c r="O101" s="6"/>
      <c r="P101" s="6"/>
      <c r="Q101" s="6"/>
      <c r="R101" s="6"/>
      <c r="S101" s="8"/>
      <c r="T101" s="6"/>
    </row>
    <row r="102" spans="2:20">
      <c r="B102" s="6"/>
      <c r="C102" s="36"/>
      <c r="D102" s="37"/>
      <c r="E102" s="38"/>
      <c r="F102" s="38"/>
      <c r="G102" s="38"/>
      <c r="H102" s="38"/>
      <c r="I102" s="38"/>
      <c r="J102" s="38"/>
      <c r="K102" s="38"/>
      <c r="L102" s="6"/>
      <c r="M102" s="6"/>
      <c r="N102" s="6"/>
      <c r="O102" s="6"/>
      <c r="P102" s="6"/>
      <c r="Q102" s="6"/>
      <c r="R102" s="6"/>
      <c r="S102" s="8"/>
      <c r="T102" s="6"/>
    </row>
    <row r="103" spans="2:20">
      <c r="B103" s="47"/>
      <c r="C103" s="53"/>
      <c r="D103" s="54"/>
      <c r="E103" s="49"/>
      <c r="F103" s="49"/>
      <c r="G103" s="49"/>
      <c r="H103" s="38"/>
      <c r="I103" s="38"/>
      <c r="J103" s="38"/>
      <c r="K103" s="38"/>
      <c r="L103" s="6"/>
      <c r="M103" s="6"/>
      <c r="N103" s="6"/>
      <c r="O103" s="6"/>
      <c r="P103" s="6"/>
      <c r="Q103" s="6"/>
      <c r="R103" s="6"/>
      <c r="S103" s="8"/>
      <c r="T103" s="6"/>
    </row>
    <row r="104" spans="2:20">
      <c r="B104" s="47"/>
      <c r="C104" s="53"/>
      <c r="D104" s="54"/>
      <c r="E104" s="49"/>
      <c r="F104" s="49"/>
      <c r="G104" s="49"/>
      <c r="H104" s="38"/>
      <c r="I104" s="38"/>
      <c r="J104" s="38"/>
      <c r="K104" s="38"/>
      <c r="L104" s="6"/>
      <c r="M104" s="6"/>
      <c r="N104" s="6"/>
      <c r="O104" s="6"/>
      <c r="P104" s="6"/>
      <c r="Q104" s="6"/>
      <c r="R104" s="6"/>
      <c r="S104" s="8"/>
      <c r="T104" s="6"/>
    </row>
    <row r="105" spans="2:20">
      <c r="B105" s="47"/>
      <c r="C105" s="53"/>
      <c r="D105" s="54"/>
      <c r="E105" s="49"/>
      <c r="F105" s="49"/>
      <c r="G105" s="49"/>
      <c r="H105" s="38"/>
      <c r="I105" s="38"/>
      <c r="J105" s="38"/>
      <c r="K105" s="38"/>
      <c r="L105" s="6"/>
      <c r="M105" s="6"/>
      <c r="N105" s="6"/>
      <c r="O105" s="6"/>
      <c r="P105" s="6"/>
      <c r="Q105" s="6"/>
      <c r="R105" s="6"/>
      <c r="S105" s="8"/>
      <c r="T105" s="6"/>
    </row>
    <row r="106" spans="2:20">
      <c r="B106" s="47"/>
      <c r="C106" s="53"/>
      <c r="D106" s="54"/>
      <c r="E106" s="49"/>
      <c r="F106" s="49"/>
      <c r="G106" s="49"/>
      <c r="H106" s="38"/>
      <c r="I106" s="38"/>
      <c r="J106" s="38"/>
      <c r="K106" s="38"/>
      <c r="L106" s="6"/>
      <c r="M106" s="6"/>
      <c r="N106" s="6"/>
      <c r="O106" s="6"/>
      <c r="P106" s="6"/>
      <c r="Q106" s="6"/>
      <c r="R106" s="6"/>
      <c r="S106" s="8"/>
      <c r="T106" s="6"/>
    </row>
    <row r="107" spans="2:20">
      <c r="B107" s="47"/>
      <c r="C107" s="53"/>
      <c r="D107" s="54"/>
      <c r="E107" s="49"/>
      <c r="F107" s="49"/>
      <c r="G107" s="49"/>
      <c r="H107" s="38"/>
      <c r="I107" s="38"/>
      <c r="J107" s="38"/>
      <c r="K107" s="38"/>
      <c r="L107" s="6"/>
      <c r="M107" s="6"/>
      <c r="N107" s="6"/>
      <c r="O107" s="6"/>
      <c r="P107" s="6"/>
      <c r="Q107" s="6"/>
      <c r="R107" s="6"/>
      <c r="S107" s="8"/>
      <c r="T107" s="6"/>
    </row>
    <row r="108" spans="2:20">
      <c r="B108" s="47"/>
      <c r="C108" s="53"/>
      <c r="D108" s="54"/>
      <c r="E108" s="49"/>
      <c r="F108" s="49"/>
      <c r="G108" s="49"/>
      <c r="H108" s="38"/>
      <c r="I108" s="38"/>
      <c r="J108" s="38"/>
      <c r="K108" s="38"/>
      <c r="L108" s="6"/>
      <c r="M108" s="6"/>
      <c r="N108" s="6"/>
      <c r="O108" s="6"/>
      <c r="P108" s="6"/>
      <c r="Q108" s="6"/>
      <c r="R108" s="6"/>
      <c r="S108" s="8"/>
      <c r="T108" s="6"/>
    </row>
    <row r="109" spans="2:20">
      <c r="B109" s="47"/>
      <c r="C109" s="53"/>
      <c r="D109" s="54"/>
      <c r="E109" s="49"/>
      <c r="F109" s="49"/>
      <c r="G109" s="49"/>
      <c r="H109" s="38"/>
      <c r="I109" s="38"/>
      <c r="J109" s="38"/>
      <c r="K109" s="38"/>
      <c r="L109" s="6"/>
      <c r="M109" s="6"/>
      <c r="N109" s="6"/>
      <c r="O109" s="6"/>
      <c r="P109" s="6"/>
      <c r="Q109" s="6"/>
      <c r="R109" s="6"/>
      <c r="S109" s="8"/>
      <c r="T109" s="6"/>
    </row>
    <row r="110" spans="2:20">
      <c r="B110" s="47"/>
      <c r="C110" s="53"/>
      <c r="D110" s="54"/>
      <c r="E110" s="49"/>
      <c r="F110" s="49"/>
      <c r="G110" s="49"/>
      <c r="H110" s="38"/>
      <c r="I110" s="38"/>
      <c r="J110" s="38"/>
      <c r="K110" s="38"/>
      <c r="L110" s="6"/>
      <c r="M110" s="6"/>
      <c r="N110" s="6"/>
      <c r="O110" s="6"/>
      <c r="P110" s="6"/>
      <c r="Q110" s="6"/>
      <c r="R110" s="6"/>
      <c r="S110" s="8"/>
      <c r="T110" s="6"/>
    </row>
    <row r="111" spans="2:20">
      <c r="B111" s="47"/>
      <c r="C111" s="53"/>
      <c r="D111" s="54"/>
      <c r="E111" s="49"/>
      <c r="F111" s="49"/>
      <c r="G111" s="49"/>
      <c r="H111" s="38"/>
      <c r="I111" s="38"/>
      <c r="J111" s="38"/>
      <c r="K111" s="38"/>
      <c r="L111" s="6"/>
      <c r="M111" s="6"/>
      <c r="N111" s="6"/>
      <c r="O111" s="6"/>
      <c r="P111" s="6"/>
      <c r="Q111" s="6"/>
      <c r="R111" s="6"/>
      <c r="S111" s="8"/>
      <c r="T111" s="6"/>
    </row>
    <row r="112" spans="2:20">
      <c r="B112" s="47"/>
      <c r="C112" s="53"/>
      <c r="D112" s="54"/>
      <c r="E112" s="49"/>
      <c r="F112" s="49"/>
      <c r="G112" s="49"/>
      <c r="H112" s="38"/>
      <c r="I112" s="38"/>
      <c r="J112" s="38"/>
      <c r="K112" s="38"/>
      <c r="L112" s="6"/>
      <c r="M112" s="6"/>
      <c r="N112" s="59"/>
      <c r="O112" s="59"/>
      <c r="P112" s="59"/>
      <c r="Q112" s="59"/>
      <c r="R112" s="6"/>
      <c r="S112" s="8"/>
      <c r="T112" s="6"/>
    </row>
    <row r="113" spans="2:20">
      <c r="B113" s="6"/>
      <c r="C113" s="36"/>
      <c r="D113" s="37"/>
      <c r="E113" s="38"/>
      <c r="F113" s="38"/>
      <c r="G113" s="38"/>
      <c r="H113" s="38"/>
      <c r="I113" s="38"/>
      <c r="J113" s="38"/>
      <c r="K113" s="38"/>
      <c r="L113" s="6"/>
      <c r="M113" s="6"/>
      <c r="N113" s="6"/>
      <c r="O113" s="6"/>
      <c r="P113" s="6"/>
      <c r="Q113" s="6"/>
      <c r="R113" s="6"/>
      <c r="S113" s="8"/>
      <c r="T113" s="6"/>
    </row>
    <row r="114" spans="2:20">
      <c r="B114" s="6"/>
      <c r="C114" s="36"/>
      <c r="D114" s="37"/>
      <c r="E114" s="38"/>
      <c r="F114" s="38"/>
      <c r="G114" s="38"/>
      <c r="H114" s="38"/>
      <c r="I114" s="38"/>
      <c r="J114" s="38"/>
      <c r="K114" s="38"/>
      <c r="L114" s="6"/>
      <c r="M114" s="6"/>
      <c r="N114" s="6"/>
      <c r="O114" s="6"/>
      <c r="P114" s="6"/>
      <c r="Q114" s="6"/>
      <c r="R114" s="6"/>
      <c r="S114" s="8"/>
      <c r="T114" s="6"/>
    </row>
    <row r="115" spans="2:20">
      <c r="B115" s="6"/>
      <c r="C115" s="36"/>
      <c r="D115" s="37"/>
      <c r="E115" s="38"/>
      <c r="F115" s="38"/>
      <c r="G115" s="38"/>
      <c r="H115" s="38"/>
      <c r="I115" s="38"/>
      <c r="J115" s="38"/>
      <c r="K115" s="38"/>
      <c r="L115" s="6"/>
      <c r="M115" s="6"/>
      <c r="N115" s="6"/>
      <c r="O115" s="6"/>
      <c r="P115" s="6"/>
      <c r="Q115" s="6"/>
      <c r="R115" s="6"/>
      <c r="S115" s="8"/>
      <c r="T115" s="6"/>
    </row>
    <row r="116" spans="2:20">
      <c r="B116" s="6"/>
      <c r="C116" s="36"/>
      <c r="D116" s="37"/>
      <c r="E116" s="38"/>
      <c r="F116" s="38"/>
      <c r="G116" s="38"/>
      <c r="H116" s="38"/>
      <c r="I116" s="38"/>
      <c r="J116" s="38"/>
      <c r="K116" s="38"/>
      <c r="L116" s="6"/>
      <c r="M116" s="6"/>
      <c r="N116" s="6"/>
      <c r="O116" s="6"/>
      <c r="P116" s="6"/>
      <c r="Q116" s="6"/>
      <c r="R116" s="6"/>
      <c r="S116" s="8"/>
      <c r="T116" s="6"/>
    </row>
    <row r="117" spans="2:20">
      <c r="B117" s="6"/>
      <c r="C117" s="36"/>
      <c r="D117" s="37"/>
      <c r="E117" s="38"/>
      <c r="F117" s="38"/>
      <c r="G117" s="38"/>
      <c r="H117" s="38"/>
      <c r="I117" s="38"/>
      <c r="J117" s="38"/>
      <c r="K117" s="38"/>
      <c r="L117" s="6"/>
      <c r="M117" s="6"/>
      <c r="N117" s="6"/>
      <c r="O117" s="6"/>
      <c r="P117" s="6"/>
      <c r="Q117" s="6"/>
      <c r="R117" s="6"/>
      <c r="S117" s="8"/>
      <c r="T117" s="6"/>
    </row>
    <row r="118" spans="2:20">
      <c r="B118" s="6"/>
      <c r="C118" s="36"/>
      <c r="D118" s="37"/>
      <c r="E118" s="38"/>
      <c r="F118" s="38"/>
      <c r="G118" s="38"/>
      <c r="H118" s="38"/>
      <c r="I118" s="38"/>
      <c r="J118" s="38"/>
      <c r="K118" s="38"/>
      <c r="L118" s="6"/>
      <c r="M118" s="6"/>
      <c r="N118" s="6"/>
      <c r="O118" s="6"/>
      <c r="P118" s="6"/>
      <c r="Q118" s="6"/>
      <c r="R118" s="6"/>
      <c r="S118" s="8"/>
      <c r="T118" s="6"/>
    </row>
    <row r="119" spans="2:20">
      <c r="B119" s="6"/>
      <c r="C119" s="36"/>
      <c r="D119" s="37"/>
      <c r="E119" s="38"/>
      <c r="F119" s="38"/>
      <c r="G119" s="38"/>
      <c r="H119" s="38"/>
      <c r="I119" s="38"/>
      <c r="J119" s="38"/>
      <c r="K119" s="38"/>
      <c r="L119" s="6"/>
      <c r="M119" s="6"/>
      <c r="N119" s="6"/>
      <c r="O119" s="6"/>
      <c r="P119" s="6"/>
      <c r="Q119" s="6"/>
      <c r="R119" s="6"/>
      <c r="S119" s="8"/>
      <c r="T119" s="6"/>
    </row>
    <row r="120" spans="2:20">
      <c r="B120" s="6"/>
      <c r="C120" s="36"/>
      <c r="D120" s="37"/>
      <c r="E120" s="38"/>
      <c r="F120" s="38"/>
      <c r="G120" s="38"/>
      <c r="H120" s="38"/>
      <c r="I120" s="38"/>
      <c r="J120" s="38"/>
      <c r="K120" s="38"/>
      <c r="L120" s="6"/>
      <c r="M120" s="6"/>
      <c r="N120" s="6"/>
      <c r="O120" s="6"/>
      <c r="P120" s="6"/>
      <c r="Q120" s="6"/>
      <c r="R120" s="6"/>
      <c r="S120" s="8"/>
      <c r="T120" s="6"/>
    </row>
    <row r="121" spans="2:20">
      <c r="B121" s="6"/>
      <c r="C121" s="36"/>
      <c r="D121" s="37"/>
      <c r="E121" s="38"/>
      <c r="F121" s="38"/>
      <c r="G121" s="38"/>
      <c r="H121" s="38"/>
      <c r="I121" s="38"/>
      <c r="J121" s="38"/>
      <c r="K121" s="38"/>
      <c r="L121" s="6"/>
      <c r="M121" s="6"/>
      <c r="N121" s="6"/>
      <c r="O121" s="6"/>
      <c r="P121" s="6"/>
      <c r="Q121" s="6"/>
      <c r="R121" s="6"/>
      <c r="S121" s="8"/>
      <c r="T121" s="6"/>
    </row>
    <row r="122" spans="2:20">
      <c r="B122" s="6"/>
      <c r="C122" s="36"/>
      <c r="D122" s="37"/>
      <c r="E122" s="38"/>
      <c r="F122" s="38"/>
      <c r="G122" s="38"/>
      <c r="H122" s="38"/>
      <c r="I122" s="38"/>
      <c r="J122" s="38"/>
      <c r="K122" s="38"/>
      <c r="L122" s="6"/>
      <c r="M122" s="6"/>
      <c r="N122" s="6"/>
      <c r="O122" s="6"/>
      <c r="P122" s="6"/>
      <c r="Q122" s="6"/>
      <c r="R122" s="6"/>
      <c r="S122" s="8"/>
      <c r="T122" s="6"/>
    </row>
    <row r="123" spans="2:20">
      <c r="B123" s="6"/>
      <c r="C123" s="36"/>
      <c r="D123" s="37"/>
      <c r="E123" s="38"/>
      <c r="F123" s="38"/>
      <c r="G123" s="38"/>
      <c r="H123" s="38"/>
      <c r="I123" s="38"/>
      <c r="J123" s="38"/>
      <c r="K123" s="38"/>
      <c r="L123" s="6"/>
      <c r="M123" s="6"/>
      <c r="N123" s="6"/>
      <c r="O123" s="6"/>
      <c r="P123" s="6"/>
      <c r="Q123" s="6"/>
      <c r="R123" s="6"/>
      <c r="S123" s="8"/>
      <c r="T123" s="6"/>
    </row>
    <row r="124" spans="2:20">
      <c r="B124" s="6"/>
      <c r="C124" s="36"/>
      <c r="D124" s="37"/>
      <c r="E124" s="38"/>
      <c r="F124" s="38"/>
      <c r="G124" s="38"/>
      <c r="H124" s="38"/>
      <c r="I124" s="38"/>
      <c r="J124" s="38"/>
      <c r="K124" s="38"/>
      <c r="L124" s="6"/>
      <c r="M124" s="6"/>
      <c r="N124" s="6"/>
      <c r="O124" s="6"/>
      <c r="P124" s="6"/>
      <c r="Q124" s="6"/>
      <c r="R124" s="6"/>
      <c r="S124" s="8"/>
      <c r="T124" s="6"/>
    </row>
    <row r="125" spans="2:20">
      <c r="B125" s="6"/>
      <c r="C125" s="36"/>
      <c r="D125" s="37"/>
      <c r="E125" s="38"/>
      <c r="F125" s="38"/>
      <c r="G125" s="38"/>
      <c r="H125" s="38"/>
      <c r="I125" s="38"/>
      <c r="J125" s="38"/>
      <c r="K125" s="38"/>
      <c r="L125" s="6"/>
      <c r="M125" s="6"/>
      <c r="N125" s="6"/>
      <c r="O125" s="6"/>
      <c r="P125" s="6"/>
      <c r="Q125" s="6"/>
      <c r="R125" s="6"/>
      <c r="S125" s="8"/>
      <c r="T125" s="6"/>
    </row>
    <row r="126" spans="2:20">
      <c r="B126" s="6"/>
      <c r="C126" s="36"/>
      <c r="D126" s="37"/>
      <c r="E126" s="38"/>
      <c r="F126" s="38"/>
      <c r="G126" s="38"/>
      <c r="H126" s="38"/>
      <c r="I126" s="38"/>
      <c r="J126" s="38"/>
      <c r="K126" s="38"/>
      <c r="L126" s="6"/>
      <c r="M126" s="6"/>
      <c r="N126" s="6"/>
      <c r="O126" s="6"/>
      <c r="P126" s="6"/>
      <c r="Q126" s="6"/>
      <c r="R126" s="6"/>
      <c r="S126" s="8"/>
      <c r="T126" s="6"/>
    </row>
    <row r="127" spans="2:20">
      <c r="B127" s="6"/>
      <c r="C127" s="36"/>
      <c r="D127" s="37"/>
      <c r="E127" s="38"/>
      <c r="F127" s="38"/>
      <c r="G127" s="38"/>
      <c r="H127" s="38"/>
      <c r="I127" s="38"/>
      <c r="J127" s="38"/>
      <c r="K127" s="38"/>
      <c r="L127" s="6"/>
      <c r="M127" s="6"/>
      <c r="N127" s="6"/>
      <c r="O127" s="6"/>
      <c r="P127" s="6"/>
      <c r="Q127" s="6"/>
      <c r="R127" s="6"/>
      <c r="S127" s="8"/>
      <c r="T127" s="6"/>
    </row>
    <row r="128" spans="2:20">
      <c r="B128" s="6"/>
      <c r="C128" s="36"/>
      <c r="D128" s="37"/>
      <c r="E128" s="38"/>
      <c r="F128" s="38"/>
      <c r="G128" s="38"/>
      <c r="H128" s="38"/>
      <c r="I128" s="38"/>
      <c r="J128" s="38"/>
      <c r="K128" s="38"/>
      <c r="L128" s="6"/>
      <c r="M128" s="6"/>
      <c r="N128" s="6"/>
      <c r="O128" s="6"/>
      <c r="P128" s="6"/>
      <c r="Q128" s="6"/>
      <c r="R128" s="6"/>
      <c r="S128" s="8"/>
      <c r="T128" s="6"/>
    </row>
    <row r="129" spans="2:20">
      <c r="B129" s="6"/>
      <c r="C129" s="36"/>
      <c r="D129" s="37"/>
      <c r="E129" s="38"/>
      <c r="F129" s="38"/>
      <c r="G129" s="38"/>
      <c r="H129" s="38"/>
      <c r="I129" s="38"/>
      <c r="J129" s="38"/>
      <c r="K129" s="38"/>
      <c r="L129" s="6"/>
      <c r="M129" s="6"/>
      <c r="N129" s="6"/>
      <c r="O129" s="6"/>
      <c r="P129" s="6"/>
      <c r="Q129" s="6"/>
      <c r="R129" s="6"/>
      <c r="S129" s="8"/>
      <c r="T129" s="6"/>
    </row>
    <row r="130" spans="2:20">
      <c r="B130" s="6"/>
      <c r="C130" s="36"/>
      <c r="D130" s="37"/>
      <c r="E130" s="38"/>
      <c r="F130" s="38"/>
      <c r="G130" s="38"/>
      <c r="H130" s="38"/>
      <c r="I130" s="38"/>
      <c r="J130" s="38"/>
      <c r="K130" s="38"/>
      <c r="L130" s="6"/>
      <c r="M130" s="6"/>
      <c r="N130" s="6"/>
      <c r="O130" s="6"/>
      <c r="P130" s="6"/>
      <c r="Q130" s="6"/>
      <c r="R130" s="6"/>
      <c r="S130" s="8"/>
      <c r="T130" s="6"/>
    </row>
    <row r="131" spans="2:20">
      <c r="B131" s="6"/>
      <c r="C131" s="36"/>
      <c r="D131" s="37"/>
      <c r="E131" s="38"/>
      <c r="F131" s="38"/>
      <c r="G131" s="38"/>
      <c r="H131" s="38"/>
      <c r="I131" s="38"/>
      <c r="J131" s="38"/>
      <c r="K131" s="38"/>
      <c r="L131" s="6"/>
      <c r="M131" s="6"/>
      <c r="N131" s="6"/>
      <c r="O131" s="6"/>
      <c r="P131" s="6"/>
      <c r="Q131" s="6"/>
      <c r="R131" s="6"/>
      <c r="S131" s="8"/>
      <c r="T131" s="6"/>
    </row>
    <row r="132" spans="2:20">
      <c r="B132" s="6"/>
      <c r="C132" s="36"/>
      <c r="D132" s="37"/>
      <c r="E132" s="38"/>
      <c r="F132" s="38"/>
      <c r="G132" s="38"/>
      <c r="H132" s="38"/>
      <c r="I132" s="38"/>
      <c r="J132" s="38"/>
      <c r="K132" s="38"/>
      <c r="L132" s="6"/>
      <c r="M132" s="6"/>
      <c r="N132" s="6"/>
      <c r="O132" s="6"/>
      <c r="P132" s="6"/>
      <c r="Q132" s="6"/>
      <c r="R132" s="6"/>
      <c r="S132" s="8"/>
      <c r="T132" s="6"/>
    </row>
    <row r="133" spans="2:20">
      <c r="B133" s="6"/>
      <c r="C133" s="36"/>
      <c r="D133" s="37"/>
      <c r="E133" s="38"/>
      <c r="F133" s="38"/>
      <c r="G133" s="38"/>
      <c r="H133" s="38"/>
      <c r="I133" s="38"/>
      <c r="J133" s="38"/>
      <c r="K133" s="38"/>
      <c r="L133" s="6"/>
      <c r="M133" s="6"/>
      <c r="N133" s="6"/>
      <c r="O133" s="6"/>
      <c r="P133" s="6"/>
      <c r="Q133" s="6"/>
      <c r="R133" s="6"/>
      <c r="S133" s="8"/>
      <c r="T133" s="6"/>
    </row>
    <row r="134" spans="2:20">
      <c r="B134" s="6"/>
      <c r="C134" s="36"/>
      <c r="D134" s="37"/>
      <c r="E134" s="38"/>
      <c r="F134" s="38"/>
      <c r="G134" s="38"/>
      <c r="H134" s="38"/>
      <c r="I134" s="38"/>
      <c r="J134" s="38"/>
      <c r="K134" s="38"/>
      <c r="L134" s="6"/>
      <c r="M134" s="6"/>
      <c r="N134" s="6"/>
      <c r="O134" s="6"/>
      <c r="P134" s="6"/>
      <c r="Q134" s="6"/>
      <c r="R134" s="6"/>
      <c r="S134" s="8"/>
      <c r="T134" s="6"/>
    </row>
    <row r="135" spans="2:20">
      <c r="B135" s="6"/>
      <c r="C135" s="36"/>
      <c r="D135" s="37"/>
      <c r="E135" s="38"/>
      <c r="F135" s="38"/>
      <c r="G135" s="38"/>
      <c r="H135" s="38"/>
      <c r="I135" s="38"/>
      <c r="J135" s="38"/>
      <c r="K135" s="38"/>
      <c r="L135" s="6"/>
      <c r="M135" s="6"/>
      <c r="N135" s="6"/>
      <c r="O135" s="6"/>
      <c r="P135" s="6"/>
      <c r="Q135" s="6"/>
      <c r="R135" s="6"/>
      <c r="S135" s="8"/>
      <c r="T135" s="6"/>
    </row>
    <row r="136" spans="2:20">
      <c r="B136" s="47"/>
      <c r="C136" s="53"/>
      <c r="D136" s="54"/>
      <c r="E136" s="49"/>
      <c r="F136" s="49"/>
      <c r="G136" s="49"/>
      <c r="H136" s="38"/>
      <c r="I136" s="38"/>
      <c r="J136" s="38"/>
      <c r="K136" s="38"/>
      <c r="L136" s="6"/>
      <c r="M136" s="6"/>
      <c r="N136" s="6"/>
      <c r="O136" s="6"/>
      <c r="P136" s="6"/>
      <c r="Q136" s="6"/>
      <c r="R136" s="6"/>
      <c r="S136" s="8"/>
      <c r="T136" s="6"/>
    </row>
    <row r="137" spans="2:20">
      <c r="B137" s="47"/>
      <c r="C137" s="53"/>
      <c r="D137" s="54"/>
      <c r="E137" s="49"/>
      <c r="F137" s="49"/>
      <c r="G137" s="49"/>
      <c r="H137" s="49"/>
      <c r="I137" s="49"/>
      <c r="J137" s="49"/>
      <c r="K137" s="49"/>
      <c r="L137" s="6"/>
      <c r="M137" s="6"/>
      <c r="N137" s="6"/>
      <c r="O137" s="6"/>
      <c r="P137" s="6"/>
      <c r="Q137" s="6"/>
      <c r="R137" s="6"/>
      <c r="S137" s="8"/>
      <c r="T137" s="6"/>
    </row>
    <row r="138" spans="2:20" s="6" customFormat="1">
      <c r="B138" s="47"/>
      <c r="C138" s="53"/>
      <c r="D138" s="54"/>
      <c r="E138" s="49"/>
      <c r="F138" s="49"/>
      <c r="G138" s="49"/>
      <c r="H138" s="49"/>
      <c r="I138" s="49"/>
      <c r="J138" s="49"/>
      <c r="K138" s="49"/>
      <c r="S138" s="8"/>
    </row>
    <row r="139" spans="2:20" ht="15.75">
      <c r="B139" s="47"/>
      <c r="C139" s="53"/>
      <c r="D139" s="54"/>
      <c r="E139" s="49"/>
      <c r="F139" s="60"/>
      <c r="G139" s="60"/>
      <c r="H139" s="49"/>
      <c r="I139" s="49"/>
      <c r="J139" s="49"/>
      <c r="K139" s="49"/>
      <c r="L139" s="6"/>
      <c r="M139" s="6"/>
      <c r="N139" s="6"/>
      <c r="O139" s="6"/>
      <c r="P139" s="6"/>
      <c r="Q139" s="6"/>
      <c r="R139" s="6"/>
      <c r="S139" s="8"/>
      <c r="T139" s="6"/>
    </row>
    <row r="140" spans="2:20">
      <c r="B140" s="55"/>
      <c r="C140" s="48"/>
      <c r="D140" s="55"/>
      <c r="E140" s="55"/>
      <c r="F140" s="55"/>
      <c r="G140" s="55"/>
      <c r="H140" s="55"/>
      <c r="I140" s="55"/>
      <c r="J140" s="55"/>
      <c r="K140" s="55"/>
      <c r="L140" s="6"/>
      <c r="M140" s="6"/>
      <c r="N140" s="59"/>
      <c r="O140" s="59"/>
      <c r="P140" s="59"/>
      <c r="Q140" s="6"/>
      <c r="R140" s="6"/>
      <c r="S140" s="8"/>
      <c r="T140" s="6"/>
    </row>
    <row r="141" spans="2:20">
      <c r="B141" s="47"/>
      <c r="C141" s="53"/>
      <c r="D141" s="54"/>
      <c r="E141" s="49"/>
      <c r="F141" s="49"/>
      <c r="G141" s="49"/>
      <c r="H141" s="49"/>
      <c r="I141" s="49"/>
      <c r="J141" s="49"/>
      <c r="K141" s="49"/>
      <c r="L141" s="6"/>
      <c r="M141" s="6"/>
      <c r="N141" s="6"/>
      <c r="O141" s="6"/>
      <c r="P141" s="6"/>
      <c r="Q141" s="6"/>
      <c r="R141" s="6"/>
      <c r="S141" s="8"/>
      <c r="T141" s="6"/>
    </row>
    <row r="142" spans="2:20">
      <c r="B142" s="47"/>
      <c r="C142" s="53"/>
      <c r="D142" s="54"/>
      <c r="E142" s="49"/>
      <c r="F142" s="49"/>
      <c r="G142" s="49"/>
      <c r="H142" s="49"/>
      <c r="I142" s="49"/>
      <c r="J142" s="49"/>
      <c r="K142" s="49"/>
      <c r="L142" s="6"/>
      <c r="M142" s="6"/>
      <c r="N142" s="6"/>
      <c r="O142" s="6"/>
      <c r="P142" s="6"/>
      <c r="Q142" s="6"/>
      <c r="R142" s="6"/>
      <c r="S142" s="8"/>
      <c r="T142" s="6"/>
    </row>
    <row r="143" spans="2:20">
      <c r="B143" s="6"/>
      <c r="C143" s="36"/>
      <c r="D143" s="37"/>
      <c r="E143" s="38"/>
      <c r="F143" s="38"/>
      <c r="G143" s="38"/>
      <c r="H143" s="49"/>
      <c r="I143" s="49"/>
      <c r="J143" s="49"/>
      <c r="K143" s="49"/>
      <c r="L143" s="6"/>
      <c r="M143" s="6"/>
      <c r="N143" s="6"/>
      <c r="O143" s="6"/>
      <c r="P143" s="6"/>
      <c r="Q143" s="6"/>
      <c r="R143" s="6"/>
      <c r="S143" s="8"/>
      <c r="T143" s="6"/>
    </row>
    <row r="144" spans="2:20">
      <c r="B144" s="6"/>
      <c r="C144" s="36"/>
      <c r="D144" s="37"/>
      <c r="E144" s="38"/>
      <c r="F144" s="38"/>
      <c r="G144" s="38"/>
      <c r="H144" s="38"/>
      <c r="I144" s="38"/>
      <c r="J144" s="38"/>
      <c r="K144" s="38"/>
      <c r="L144" s="6"/>
      <c r="M144" s="6"/>
      <c r="N144" s="6"/>
      <c r="O144" s="6"/>
      <c r="P144" s="6"/>
      <c r="Q144" s="6"/>
      <c r="R144" s="6"/>
      <c r="S144" s="8"/>
      <c r="T144" s="6"/>
    </row>
    <row r="145" spans="2:20">
      <c r="B145" s="6"/>
      <c r="C145" s="36"/>
      <c r="D145" s="37"/>
      <c r="E145" s="38"/>
      <c r="F145" s="38"/>
      <c r="G145" s="38"/>
      <c r="H145" s="38"/>
      <c r="I145" s="38"/>
      <c r="J145" s="38"/>
      <c r="K145" s="38"/>
      <c r="L145" s="6"/>
      <c r="M145" s="6"/>
      <c r="N145" s="6"/>
      <c r="O145" s="6"/>
      <c r="P145" s="6"/>
      <c r="Q145" s="6"/>
      <c r="R145" s="6"/>
      <c r="S145" s="8"/>
      <c r="T145" s="6"/>
    </row>
    <row r="146" spans="2:20">
      <c r="B146" s="6"/>
      <c r="C146" s="36"/>
      <c r="D146" s="37"/>
      <c r="E146" s="38"/>
      <c r="F146" s="38"/>
      <c r="G146" s="38"/>
      <c r="H146" s="38"/>
      <c r="I146" s="38"/>
      <c r="J146" s="38"/>
      <c r="K146" s="38"/>
      <c r="L146" s="6"/>
      <c r="M146" s="6"/>
      <c r="N146" s="6"/>
      <c r="O146" s="6"/>
      <c r="P146" s="6"/>
      <c r="Q146" s="6"/>
      <c r="R146" s="6"/>
      <c r="S146" s="8"/>
      <c r="T146" s="6"/>
    </row>
    <row r="147" spans="2:20">
      <c r="B147" s="6"/>
      <c r="C147" s="36"/>
      <c r="D147" s="37"/>
      <c r="E147" s="38"/>
      <c r="F147" s="38"/>
      <c r="G147" s="38"/>
      <c r="H147" s="38"/>
      <c r="I147" s="38"/>
      <c r="J147" s="38"/>
      <c r="K147" s="38"/>
      <c r="L147" s="6"/>
      <c r="M147" s="6"/>
      <c r="N147" s="6"/>
      <c r="O147" s="6"/>
      <c r="P147" s="6"/>
      <c r="Q147" s="6"/>
      <c r="R147" s="6"/>
      <c r="S147" s="8"/>
      <c r="T147" s="6"/>
    </row>
    <row r="148" spans="2:20">
      <c r="B148" s="6"/>
      <c r="C148" s="36"/>
      <c r="D148" s="37"/>
      <c r="E148" s="38"/>
      <c r="F148" s="38"/>
      <c r="G148" s="38"/>
      <c r="H148" s="38"/>
      <c r="I148" s="38"/>
      <c r="J148" s="38"/>
      <c r="K148" s="38"/>
      <c r="L148" s="6"/>
      <c r="M148" s="6"/>
      <c r="N148" s="6"/>
      <c r="O148" s="6"/>
      <c r="P148" s="6"/>
      <c r="Q148" s="6"/>
      <c r="R148" s="6"/>
      <c r="S148" s="8"/>
      <c r="T148" s="6"/>
    </row>
    <row r="149" spans="2:20">
      <c r="B149" s="6"/>
      <c r="C149" s="36"/>
      <c r="D149" s="37"/>
      <c r="E149" s="38"/>
      <c r="F149" s="38"/>
      <c r="G149" s="38"/>
      <c r="H149" s="38"/>
      <c r="I149" s="38"/>
      <c r="J149" s="38"/>
      <c r="K149" s="38"/>
      <c r="L149" s="6"/>
      <c r="M149" s="6"/>
      <c r="N149" s="6"/>
      <c r="O149" s="6"/>
      <c r="P149" s="6"/>
      <c r="Q149" s="6"/>
      <c r="R149" s="6"/>
      <c r="S149" s="8"/>
      <c r="T149" s="6"/>
    </row>
    <row r="150" spans="2:20">
      <c r="B150" s="6"/>
      <c r="C150" s="36"/>
      <c r="D150" s="37"/>
      <c r="E150" s="38"/>
      <c r="F150" s="38"/>
      <c r="G150" s="38"/>
      <c r="H150" s="38"/>
      <c r="I150" s="38"/>
      <c r="J150" s="38"/>
      <c r="K150" s="38"/>
      <c r="L150" s="6"/>
      <c r="M150" s="6"/>
      <c r="N150" s="6"/>
      <c r="O150" s="6"/>
      <c r="P150" s="6"/>
      <c r="Q150" s="6"/>
      <c r="R150" s="6"/>
      <c r="S150" s="8"/>
      <c r="T150" s="6"/>
    </row>
    <row r="151" spans="2:20">
      <c r="B151" s="6"/>
      <c r="C151" s="36"/>
      <c r="D151" s="37"/>
      <c r="E151" s="38"/>
      <c r="F151" s="38"/>
      <c r="G151" s="38"/>
      <c r="H151" s="38"/>
      <c r="I151" s="38"/>
      <c r="J151" s="38"/>
      <c r="K151" s="38"/>
      <c r="L151" s="6"/>
      <c r="M151" s="6"/>
      <c r="N151" s="6"/>
      <c r="O151" s="6"/>
      <c r="P151" s="6"/>
      <c r="Q151" s="6"/>
      <c r="R151" s="6"/>
      <c r="S151" s="8"/>
      <c r="T151" s="6"/>
    </row>
    <row r="152" spans="2:20">
      <c r="B152" s="6"/>
      <c r="C152" s="36"/>
      <c r="D152" s="37"/>
      <c r="E152" s="38"/>
      <c r="F152" s="38"/>
      <c r="G152" s="38"/>
      <c r="H152" s="38"/>
      <c r="I152" s="38"/>
      <c r="J152" s="38"/>
      <c r="K152" s="38"/>
      <c r="L152" s="6"/>
      <c r="M152" s="6"/>
      <c r="N152" s="6"/>
      <c r="O152" s="6"/>
      <c r="P152" s="6"/>
      <c r="Q152" s="6"/>
      <c r="R152" s="6"/>
      <c r="S152" s="8"/>
      <c r="T152" s="6"/>
    </row>
    <row r="153" spans="2:20">
      <c r="B153" s="6"/>
      <c r="C153" s="36"/>
      <c r="D153" s="37"/>
      <c r="E153" s="38"/>
      <c r="F153" s="38"/>
      <c r="G153" s="38"/>
      <c r="H153" s="38"/>
      <c r="I153" s="38"/>
      <c r="J153" s="38"/>
      <c r="K153" s="38"/>
      <c r="L153" s="6"/>
      <c r="M153" s="6"/>
      <c r="N153" s="6"/>
      <c r="O153" s="6"/>
      <c r="P153" s="6"/>
      <c r="Q153" s="6"/>
      <c r="R153" s="6"/>
      <c r="S153" s="8"/>
      <c r="T153" s="6"/>
    </row>
    <row r="154" spans="2:20">
      <c r="B154" s="6"/>
      <c r="C154" s="36"/>
      <c r="D154" s="37"/>
      <c r="E154" s="38"/>
      <c r="F154" s="38"/>
      <c r="G154" s="38"/>
      <c r="H154" s="38"/>
      <c r="I154" s="38"/>
      <c r="J154" s="38"/>
      <c r="K154" s="38"/>
      <c r="L154" s="6"/>
      <c r="M154" s="6"/>
      <c r="N154" s="6"/>
      <c r="O154" s="6"/>
      <c r="P154" s="6"/>
      <c r="Q154" s="6"/>
      <c r="R154" s="6"/>
      <c r="S154" s="8"/>
      <c r="T154" s="6"/>
    </row>
    <row r="155" spans="2:20">
      <c r="B155" s="6"/>
      <c r="C155" s="36"/>
      <c r="D155" s="37"/>
      <c r="E155" s="38"/>
      <c r="F155" s="38"/>
      <c r="G155" s="38"/>
      <c r="H155" s="38"/>
      <c r="I155" s="38"/>
      <c r="J155" s="38"/>
      <c r="K155" s="38"/>
      <c r="L155" s="6"/>
      <c r="M155" s="6"/>
      <c r="N155" s="6"/>
      <c r="O155" s="6"/>
      <c r="P155" s="6"/>
      <c r="Q155" s="6"/>
      <c r="R155" s="6"/>
      <c r="S155" s="8"/>
      <c r="T155" s="6"/>
    </row>
    <row r="156" spans="2:20">
      <c r="B156" s="6"/>
      <c r="C156" s="36"/>
      <c r="D156" s="37"/>
      <c r="E156" s="38"/>
      <c r="F156" s="38"/>
      <c r="G156" s="38"/>
      <c r="H156" s="38"/>
      <c r="I156" s="38"/>
      <c r="J156" s="38"/>
      <c r="K156" s="38"/>
      <c r="L156" s="6"/>
      <c r="M156" s="6"/>
      <c r="N156" s="6"/>
      <c r="O156" s="6"/>
      <c r="P156" s="6"/>
      <c r="Q156" s="6"/>
      <c r="R156" s="6"/>
      <c r="S156" s="8"/>
      <c r="T156" s="6"/>
    </row>
    <row r="157" spans="2:20">
      <c r="B157" s="6"/>
      <c r="C157" s="36"/>
      <c r="D157" s="37"/>
      <c r="E157" s="38"/>
      <c r="F157" s="38"/>
      <c r="G157" s="38"/>
      <c r="H157" s="38"/>
      <c r="I157" s="38"/>
      <c r="J157" s="38"/>
      <c r="K157" s="38"/>
      <c r="L157" s="6"/>
      <c r="M157" s="6"/>
      <c r="N157" s="6"/>
      <c r="O157" s="6"/>
      <c r="P157" s="6"/>
      <c r="Q157" s="6"/>
      <c r="R157" s="6"/>
      <c r="S157" s="8"/>
      <c r="T157" s="6"/>
    </row>
    <row r="158" spans="2:20">
      <c r="B158" s="6"/>
      <c r="C158" s="36"/>
      <c r="D158" s="37"/>
      <c r="E158" s="38"/>
      <c r="F158" s="38"/>
      <c r="G158" s="38"/>
      <c r="H158" s="38"/>
      <c r="I158" s="38"/>
      <c r="J158" s="38"/>
      <c r="K158" s="38"/>
      <c r="L158" s="6"/>
      <c r="M158" s="6"/>
      <c r="N158" s="6"/>
      <c r="O158" s="6"/>
      <c r="P158" s="6"/>
      <c r="Q158" s="6"/>
      <c r="R158" s="6"/>
      <c r="S158" s="8"/>
      <c r="T158" s="6"/>
    </row>
    <row r="159" spans="2:20">
      <c r="B159" s="6"/>
      <c r="C159" s="36"/>
      <c r="D159" s="37"/>
      <c r="E159" s="38"/>
      <c r="F159" s="38"/>
      <c r="G159" s="38"/>
      <c r="H159" s="38"/>
      <c r="I159" s="38"/>
      <c r="J159" s="38"/>
      <c r="K159" s="38"/>
      <c r="L159" s="6"/>
      <c r="M159" s="6"/>
      <c r="N159" s="6"/>
      <c r="O159" s="6"/>
      <c r="P159" s="6"/>
      <c r="Q159" s="6"/>
      <c r="R159" s="6"/>
      <c r="S159" s="8"/>
      <c r="T159" s="6"/>
    </row>
    <row r="160" spans="2:20">
      <c r="B160" s="6"/>
      <c r="C160" s="36"/>
      <c r="D160" s="37"/>
      <c r="E160" s="38"/>
      <c r="F160" s="38"/>
      <c r="G160" s="38"/>
      <c r="H160" s="38"/>
      <c r="I160" s="38"/>
      <c r="J160" s="38"/>
      <c r="K160" s="38"/>
      <c r="L160" s="6"/>
      <c r="M160" s="6"/>
      <c r="N160" s="59"/>
      <c r="O160" s="59"/>
      <c r="P160" s="59"/>
      <c r="Q160" s="6"/>
      <c r="R160" s="6"/>
      <c r="S160" s="8"/>
      <c r="T160" s="6"/>
    </row>
    <row r="161" spans="2:20">
      <c r="B161" s="6"/>
      <c r="C161" s="36"/>
      <c r="D161" s="37"/>
      <c r="E161" s="38"/>
      <c r="F161" s="38"/>
      <c r="G161" s="38"/>
      <c r="H161" s="38"/>
      <c r="I161" s="38"/>
      <c r="J161" s="38"/>
      <c r="K161" s="38"/>
      <c r="L161" s="6"/>
      <c r="M161" s="6"/>
      <c r="N161" s="6"/>
      <c r="O161" s="6"/>
      <c r="P161" s="6"/>
      <c r="Q161" s="6"/>
      <c r="R161" s="6"/>
      <c r="S161" s="8"/>
      <c r="T161" s="6"/>
    </row>
    <row r="162" spans="2:20">
      <c r="B162" s="6"/>
      <c r="C162" s="36"/>
      <c r="D162" s="37"/>
      <c r="E162" s="38"/>
      <c r="F162" s="38"/>
      <c r="G162" s="38"/>
      <c r="H162" s="38"/>
      <c r="I162" s="38"/>
      <c r="J162" s="38"/>
      <c r="K162" s="38"/>
      <c r="L162" s="6"/>
      <c r="M162" s="6"/>
      <c r="N162" s="6"/>
      <c r="O162" s="6"/>
      <c r="P162" s="6"/>
      <c r="Q162" s="6"/>
      <c r="R162" s="6"/>
      <c r="S162" s="8"/>
      <c r="T162" s="6"/>
    </row>
    <row r="163" spans="2:20">
      <c r="B163" s="6"/>
      <c r="C163" s="36"/>
      <c r="D163" s="37"/>
      <c r="E163" s="38"/>
      <c r="F163" s="38"/>
      <c r="G163" s="38"/>
      <c r="H163" s="38"/>
      <c r="I163" s="38"/>
      <c r="J163" s="38"/>
      <c r="K163" s="38"/>
      <c r="L163" s="6"/>
      <c r="M163" s="6"/>
      <c r="N163" s="6"/>
      <c r="O163" s="6"/>
      <c r="P163" s="6"/>
      <c r="Q163" s="6"/>
      <c r="R163" s="6"/>
      <c r="S163" s="8"/>
      <c r="T163" s="6"/>
    </row>
    <row r="164" spans="2:20">
      <c r="B164" s="6"/>
      <c r="C164" s="36"/>
      <c r="D164" s="37"/>
      <c r="E164" s="38"/>
      <c r="F164" s="38"/>
      <c r="G164" s="38"/>
      <c r="H164" s="38"/>
      <c r="I164" s="38"/>
      <c r="J164" s="38"/>
      <c r="K164" s="38"/>
      <c r="L164" s="6"/>
      <c r="M164" s="6"/>
      <c r="N164" s="6"/>
      <c r="O164" s="6"/>
      <c r="P164" s="6"/>
      <c r="Q164" s="6"/>
      <c r="R164" s="6"/>
      <c r="S164" s="8"/>
      <c r="T164" s="6"/>
    </row>
    <row r="165" spans="2:20">
      <c r="B165" s="6"/>
      <c r="C165" s="36"/>
      <c r="D165" s="37"/>
      <c r="E165" s="38"/>
      <c r="F165" s="38"/>
      <c r="G165" s="38"/>
      <c r="H165" s="38"/>
      <c r="I165" s="38"/>
      <c r="J165" s="38"/>
      <c r="K165" s="38"/>
      <c r="L165" s="6"/>
      <c r="M165" s="6"/>
      <c r="N165" s="6"/>
      <c r="O165" s="6"/>
      <c r="P165" s="6"/>
      <c r="Q165" s="6"/>
      <c r="R165" s="6"/>
      <c r="S165" s="8"/>
      <c r="T165" s="6"/>
    </row>
    <row r="166" spans="2:20">
      <c r="B166" s="6"/>
      <c r="C166" s="36"/>
      <c r="D166" s="37"/>
      <c r="E166" s="38"/>
      <c r="F166" s="38"/>
      <c r="G166" s="38"/>
      <c r="H166" s="38"/>
      <c r="I166" s="38"/>
      <c r="J166" s="38"/>
      <c r="K166" s="38"/>
      <c r="L166" s="6"/>
      <c r="M166" s="6"/>
      <c r="N166" s="6"/>
      <c r="O166" s="6"/>
      <c r="P166" s="6"/>
      <c r="Q166" s="6"/>
      <c r="R166" s="6"/>
      <c r="S166" s="8"/>
      <c r="T166" s="6"/>
    </row>
    <row r="167" spans="2:20">
      <c r="B167" s="6"/>
      <c r="C167" s="36"/>
      <c r="D167" s="37"/>
      <c r="E167" s="38"/>
      <c r="F167" s="38"/>
      <c r="G167" s="38"/>
      <c r="H167" s="38"/>
      <c r="I167" s="38"/>
      <c r="J167" s="38"/>
      <c r="K167" s="38"/>
      <c r="L167" s="6"/>
      <c r="M167" s="6"/>
      <c r="N167" s="6"/>
      <c r="O167" s="6"/>
      <c r="P167" s="6"/>
      <c r="Q167" s="6"/>
      <c r="R167" s="6"/>
      <c r="S167" s="8"/>
      <c r="T167" s="6"/>
    </row>
    <row r="168" spans="2:20">
      <c r="B168" s="6"/>
      <c r="C168" s="36"/>
      <c r="D168" s="37"/>
      <c r="E168" s="38"/>
      <c r="F168" s="38"/>
      <c r="G168" s="38"/>
      <c r="H168" s="38"/>
      <c r="I168" s="38"/>
      <c r="J168" s="38"/>
      <c r="K168" s="38"/>
      <c r="L168" s="6"/>
      <c r="M168" s="6"/>
      <c r="N168" s="6"/>
      <c r="O168" s="6"/>
      <c r="P168" s="6"/>
      <c r="Q168" s="6"/>
      <c r="R168" s="6"/>
      <c r="S168" s="8"/>
      <c r="T168" s="6"/>
    </row>
    <row r="169" spans="2:20">
      <c r="B169" s="6"/>
      <c r="C169" s="36"/>
      <c r="D169" s="37"/>
      <c r="E169" s="38"/>
      <c r="F169" s="38"/>
      <c r="G169" s="38"/>
      <c r="H169" s="38"/>
      <c r="I169" s="38"/>
      <c r="J169" s="38"/>
      <c r="K169" s="38"/>
      <c r="L169" s="6"/>
      <c r="M169" s="6"/>
      <c r="N169" s="6"/>
      <c r="O169" s="6"/>
      <c r="P169" s="6"/>
      <c r="Q169" s="6"/>
      <c r="R169" s="6"/>
      <c r="S169" s="8"/>
      <c r="T169" s="6"/>
    </row>
    <row r="170" spans="2:20">
      <c r="B170" s="6"/>
      <c r="C170" s="36"/>
      <c r="D170" s="37"/>
      <c r="E170" s="38"/>
      <c r="F170" s="38"/>
      <c r="G170" s="38"/>
      <c r="H170" s="38"/>
      <c r="I170" s="38"/>
      <c r="J170" s="38"/>
      <c r="K170" s="38"/>
      <c r="L170" s="6"/>
      <c r="M170" s="6"/>
      <c r="N170" s="6"/>
      <c r="O170" s="6"/>
      <c r="P170" s="6"/>
      <c r="Q170" s="6"/>
      <c r="R170" s="6"/>
      <c r="S170" s="8"/>
      <c r="T170" s="6"/>
    </row>
    <row r="171" spans="2:20">
      <c r="B171" s="6"/>
      <c r="C171" s="36"/>
      <c r="D171" s="37"/>
      <c r="E171" s="38"/>
      <c r="F171" s="38"/>
      <c r="G171" s="38"/>
      <c r="H171" s="38"/>
      <c r="I171" s="38"/>
      <c r="J171" s="38"/>
      <c r="K171" s="38"/>
      <c r="L171" s="6"/>
      <c r="M171" s="6"/>
      <c r="N171" s="6"/>
      <c r="O171" s="6"/>
      <c r="P171" s="6"/>
      <c r="Q171" s="6"/>
      <c r="R171" s="6"/>
      <c r="S171" s="8"/>
      <c r="T171" s="6"/>
    </row>
    <row r="172" spans="2:20">
      <c r="B172" s="6"/>
      <c r="C172" s="36"/>
      <c r="D172" s="37"/>
      <c r="E172" s="38"/>
      <c r="F172" s="38"/>
      <c r="G172" s="38"/>
      <c r="H172" s="38"/>
      <c r="I172" s="38"/>
      <c r="J172" s="38"/>
      <c r="K172" s="38"/>
      <c r="L172" s="6"/>
      <c r="M172" s="6"/>
      <c r="N172" s="6"/>
      <c r="O172" s="6"/>
      <c r="P172" s="6"/>
      <c r="Q172" s="6"/>
      <c r="R172" s="6"/>
      <c r="S172" s="8"/>
      <c r="T172" s="6"/>
    </row>
    <row r="173" spans="2:20">
      <c r="B173" s="6"/>
      <c r="C173" s="36"/>
      <c r="D173" s="37"/>
      <c r="E173" s="38"/>
      <c r="F173" s="38"/>
      <c r="G173" s="38"/>
      <c r="H173" s="38"/>
      <c r="I173" s="38"/>
      <c r="J173" s="38"/>
      <c r="K173" s="38"/>
      <c r="L173" s="6"/>
      <c r="M173" s="6"/>
      <c r="N173" s="6"/>
      <c r="O173" s="6"/>
      <c r="P173" s="6"/>
      <c r="Q173" s="6"/>
      <c r="R173" s="6"/>
      <c r="S173" s="8"/>
      <c r="T173" s="6"/>
    </row>
    <row r="174" spans="2:20">
      <c r="B174" s="6"/>
      <c r="C174" s="36"/>
      <c r="D174" s="37"/>
      <c r="E174" s="38"/>
      <c r="F174" s="38"/>
      <c r="G174" s="38"/>
      <c r="H174" s="38"/>
      <c r="I174" s="38"/>
      <c r="J174" s="38"/>
      <c r="K174" s="38"/>
      <c r="L174" s="6"/>
      <c r="M174" s="6"/>
      <c r="N174" s="6"/>
      <c r="O174" s="6"/>
      <c r="P174" s="6"/>
      <c r="Q174" s="6"/>
      <c r="R174" s="6"/>
      <c r="S174" s="8"/>
      <c r="T174" s="6"/>
    </row>
    <row r="175" spans="2:20">
      <c r="B175" s="6"/>
      <c r="C175" s="36"/>
      <c r="D175" s="37"/>
      <c r="E175" s="38"/>
      <c r="F175" s="38"/>
      <c r="G175" s="38"/>
      <c r="H175" s="38"/>
      <c r="I175" s="38"/>
      <c r="J175" s="38"/>
      <c r="K175" s="38"/>
      <c r="L175" s="6"/>
      <c r="M175" s="6"/>
      <c r="N175" s="6"/>
      <c r="O175" s="6"/>
      <c r="P175" s="6"/>
      <c r="Q175" s="6"/>
      <c r="R175" s="6"/>
      <c r="S175" s="8"/>
      <c r="T175" s="6"/>
    </row>
    <row r="176" spans="2:20">
      <c r="B176" s="6"/>
      <c r="C176" s="36"/>
      <c r="D176" s="37"/>
      <c r="E176" s="38"/>
      <c r="F176" s="38"/>
      <c r="G176" s="38"/>
      <c r="H176" s="38"/>
      <c r="I176" s="38"/>
      <c r="J176" s="38"/>
      <c r="K176" s="38"/>
      <c r="L176" s="6"/>
      <c r="M176" s="6"/>
      <c r="N176" s="6"/>
      <c r="O176" s="6"/>
      <c r="P176" s="6"/>
      <c r="Q176" s="6"/>
      <c r="R176" s="6"/>
      <c r="S176" s="8"/>
      <c r="T176" s="6"/>
    </row>
    <row r="177" spans="2:20">
      <c r="B177" s="6"/>
      <c r="C177" s="36"/>
      <c r="D177" s="37"/>
      <c r="E177" s="38"/>
      <c r="F177" s="38"/>
      <c r="G177" s="38"/>
      <c r="H177" s="38"/>
      <c r="I177" s="38"/>
      <c r="J177" s="38"/>
      <c r="K177" s="38"/>
      <c r="L177" s="6"/>
      <c r="M177" s="6"/>
      <c r="N177" s="6"/>
      <c r="O177" s="6"/>
      <c r="P177" s="6"/>
      <c r="Q177" s="6"/>
      <c r="R177" s="6"/>
      <c r="S177" s="8"/>
      <c r="T177" s="6"/>
    </row>
    <row r="178" spans="2:20">
      <c r="B178" s="6"/>
      <c r="C178" s="36"/>
      <c r="D178" s="37"/>
      <c r="E178" s="38"/>
      <c r="F178" s="38"/>
      <c r="G178" s="38"/>
      <c r="H178" s="38"/>
      <c r="I178" s="38"/>
      <c r="J178" s="38"/>
      <c r="K178" s="38"/>
      <c r="L178" s="6"/>
      <c r="M178" s="6"/>
      <c r="N178" s="6"/>
      <c r="O178" s="6"/>
      <c r="P178" s="6"/>
      <c r="Q178" s="6"/>
      <c r="R178" s="6"/>
      <c r="S178" s="8"/>
      <c r="T178" s="6"/>
    </row>
    <row r="179" spans="2:20">
      <c r="B179" s="6"/>
      <c r="C179" s="36"/>
      <c r="D179" s="37"/>
      <c r="E179" s="38"/>
      <c r="F179" s="38"/>
      <c r="G179" s="38"/>
      <c r="H179" s="38"/>
      <c r="I179" s="38"/>
      <c r="J179" s="38"/>
      <c r="K179" s="38"/>
      <c r="L179" s="6"/>
      <c r="M179" s="6"/>
      <c r="N179" s="6"/>
      <c r="O179" s="6"/>
      <c r="P179" s="6"/>
      <c r="Q179" s="6"/>
      <c r="R179" s="6"/>
      <c r="S179" s="8"/>
      <c r="T179" s="6"/>
    </row>
    <row r="180" spans="2:20">
      <c r="B180" s="6"/>
      <c r="C180" s="36"/>
      <c r="D180" s="37"/>
      <c r="E180" s="38"/>
      <c r="F180" s="38"/>
      <c r="G180" s="38"/>
      <c r="H180" s="38"/>
      <c r="I180" s="38"/>
      <c r="J180" s="38"/>
      <c r="K180" s="38"/>
      <c r="L180" s="6"/>
      <c r="M180" s="6"/>
      <c r="N180" s="6"/>
      <c r="O180" s="6"/>
      <c r="P180" s="6"/>
      <c r="Q180" s="6"/>
      <c r="R180" s="6"/>
      <c r="S180" s="8"/>
      <c r="T180" s="6"/>
    </row>
    <row r="181" spans="2:20">
      <c r="B181" s="6"/>
      <c r="C181" s="36"/>
      <c r="D181" s="37"/>
      <c r="E181" s="38"/>
      <c r="F181" s="38"/>
      <c r="G181" s="38"/>
      <c r="H181" s="38"/>
      <c r="I181" s="38"/>
      <c r="J181" s="38"/>
      <c r="K181" s="38"/>
      <c r="L181" s="6"/>
      <c r="M181" s="6"/>
      <c r="N181" s="59"/>
      <c r="O181" s="59"/>
      <c r="P181" s="59"/>
      <c r="Q181" s="59"/>
      <c r="R181" s="6"/>
      <c r="S181" s="8"/>
      <c r="T181" s="6"/>
    </row>
    <row r="182" spans="2:20">
      <c r="B182" s="6"/>
      <c r="C182" s="36"/>
      <c r="D182" s="37"/>
      <c r="E182" s="38"/>
      <c r="F182" s="38"/>
      <c r="G182" s="38"/>
      <c r="H182" s="38"/>
      <c r="I182" s="38"/>
      <c r="J182" s="38"/>
      <c r="K182" s="38"/>
      <c r="L182" s="6"/>
      <c r="M182" s="6"/>
      <c r="N182" s="6"/>
      <c r="O182" s="6"/>
      <c r="P182" s="6"/>
      <c r="Q182" s="6"/>
      <c r="R182" s="6"/>
      <c r="S182" s="8"/>
      <c r="T182" s="6"/>
    </row>
    <row r="183" spans="2:20">
      <c r="B183" s="6"/>
      <c r="C183" s="36"/>
      <c r="D183" s="37"/>
      <c r="E183" s="38"/>
      <c r="F183" s="38"/>
      <c r="G183" s="38"/>
      <c r="H183" s="38"/>
      <c r="I183" s="38"/>
      <c r="J183" s="38"/>
      <c r="K183" s="38"/>
      <c r="L183" s="6"/>
      <c r="M183" s="6"/>
      <c r="N183" s="6"/>
      <c r="O183" s="6"/>
      <c r="P183" s="6"/>
      <c r="Q183" s="6"/>
      <c r="R183" s="6"/>
      <c r="S183" s="8"/>
      <c r="T183" s="6"/>
    </row>
    <row r="184" spans="2:20">
      <c r="B184" s="6"/>
      <c r="C184" s="36"/>
      <c r="D184" s="37"/>
      <c r="E184" s="38"/>
      <c r="F184" s="38"/>
      <c r="G184" s="38"/>
      <c r="H184" s="38"/>
      <c r="I184" s="38"/>
      <c r="J184" s="38"/>
      <c r="K184" s="38"/>
      <c r="L184" s="6"/>
      <c r="M184" s="6"/>
      <c r="N184" s="6"/>
      <c r="O184" s="6"/>
      <c r="P184" s="6"/>
      <c r="Q184" s="6"/>
      <c r="R184" s="6"/>
      <c r="S184" s="8"/>
      <c r="T184" s="6"/>
    </row>
    <row r="185" spans="2:20">
      <c r="B185" s="6"/>
      <c r="C185" s="36"/>
      <c r="D185" s="37"/>
      <c r="E185" s="38"/>
      <c r="F185" s="38"/>
      <c r="G185" s="38"/>
      <c r="H185" s="38"/>
      <c r="I185" s="38"/>
      <c r="J185" s="38"/>
      <c r="K185" s="38"/>
      <c r="L185" s="6"/>
      <c r="M185" s="6"/>
      <c r="N185" s="6"/>
      <c r="O185" s="6"/>
      <c r="P185" s="6"/>
      <c r="Q185" s="6"/>
      <c r="R185" s="6"/>
      <c r="S185" s="8"/>
      <c r="T185" s="6"/>
    </row>
    <row r="186" spans="2:20">
      <c r="B186" s="6"/>
      <c r="C186" s="36"/>
      <c r="D186" s="37"/>
      <c r="E186" s="38"/>
      <c r="F186" s="38"/>
      <c r="G186" s="38"/>
      <c r="H186" s="38"/>
      <c r="I186" s="38"/>
      <c r="J186" s="38"/>
      <c r="K186" s="38"/>
      <c r="L186" s="6"/>
      <c r="M186" s="6"/>
      <c r="N186" s="6"/>
      <c r="O186" s="6"/>
      <c r="P186" s="6"/>
      <c r="Q186" s="6"/>
      <c r="R186" s="6"/>
      <c r="S186" s="8"/>
      <c r="T186" s="6"/>
    </row>
    <row r="187" spans="2:20">
      <c r="B187" s="6"/>
      <c r="C187" s="36"/>
      <c r="D187" s="37"/>
      <c r="E187" s="38"/>
      <c r="F187" s="38"/>
      <c r="G187" s="38"/>
      <c r="H187" s="38"/>
      <c r="I187" s="38"/>
      <c r="J187" s="38"/>
      <c r="K187" s="38"/>
      <c r="L187" s="6"/>
      <c r="M187" s="6"/>
      <c r="N187" s="6"/>
      <c r="O187" s="6"/>
      <c r="P187" s="6"/>
      <c r="Q187" s="6"/>
      <c r="R187" s="6"/>
      <c r="S187" s="8"/>
      <c r="T187" s="6"/>
    </row>
    <row r="188" spans="2:20">
      <c r="B188" s="6"/>
      <c r="C188" s="36"/>
      <c r="D188" s="37"/>
      <c r="E188" s="38"/>
      <c r="F188" s="38"/>
      <c r="G188" s="38"/>
      <c r="H188" s="38"/>
      <c r="I188" s="38"/>
      <c r="J188" s="38"/>
      <c r="K188" s="38"/>
      <c r="L188" s="6"/>
      <c r="M188" s="6"/>
      <c r="N188" s="6"/>
      <c r="O188" s="6"/>
      <c r="P188" s="6"/>
      <c r="Q188" s="6"/>
      <c r="R188" s="6"/>
      <c r="S188" s="8"/>
      <c r="T188" s="6"/>
    </row>
    <row r="189" spans="2:20">
      <c r="B189" s="6"/>
      <c r="C189" s="36"/>
      <c r="D189" s="37"/>
      <c r="E189" s="38"/>
      <c r="F189" s="38"/>
      <c r="G189" s="38"/>
      <c r="H189" s="38"/>
      <c r="I189" s="38"/>
      <c r="J189" s="38"/>
      <c r="K189" s="38"/>
      <c r="L189" s="6"/>
      <c r="M189" s="6"/>
      <c r="N189" s="6"/>
      <c r="O189" s="6"/>
      <c r="P189" s="6"/>
      <c r="Q189" s="6"/>
      <c r="R189" s="6"/>
      <c r="S189" s="8"/>
      <c r="T189" s="6"/>
    </row>
    <row r="190" spans="2:20">
      <c r="B190" s="6"/>
      <c r="C190" s="36"/>
      <c r="D190" s="37"/>
      <c r="E190" s="38"/>
      <c r="F190" s="38"/>
      <c r="G190" s="38"/>
      <c r="H190" s="38"/>
      <c r="I190" s="38"/>
      <c r="J190" s="38"/>
      <c r="K190" s="38"/>
      <c r="L190" s="6"/>
      <c r="M190" s="6"/>
      <c r="N190" s="6"/>
      <c r="O190" s="6"/>
      <c r="P190" s="6"/>
      <c r="Q190" s="6"/>
      <c r="R190" s="6"/>
      <c r="S190" s="8"/>
      <c r="T190" s="6"/>
    </row>
    <row r="191" spans="2:20">
      <c r="B191" s="6"/>
      <c r="C191" s="36"/>
      <c r="D191" s="37"/>
      <c r="E191" s="38"/>
      <c r="F191" s="38"/>
      <c r="G191" s="38"/>
      <c r="H191" s="38"/>
      <c r="I191" s="38"/>
      <c r="J191" s="38"/>
      <c r="K191" s="38"/>
      <c r="L191" s="6"/>
      <c r="M191" s="6"/>
      <c r="N191" s="6"/>
      <c r="O191" s="6"/>
      <c r="P191" s="6"/>
      <c r="Q191" s="6"/>
      <c r="R191" s="6"/>
      <c r="S191" s="8"/>
      <c r="T191" s="6"/>
    </row>
    <row r="192" spans="2:20">
      <c r="B192" s="6"/>
      <c r="C192" s="36"/>
      <c r="D192" s="37"/>
      <c r="E192" s="38"/>
      <c r="F192" s="38"/>
      <c r="G192" s="38"/>
      <c r="H192" s="38"/>
      <c r="I192" s="38"/>
      <c r="J192" s="38"/>
      <c r="K192" s="38"/>
      <c r="L192" s="6"/>
      <c r="M192" s="6"/>
      <c r="N192" s="6"/>
      <c r="O192" s="6"/>
      <c r="P192" s="6"/>
      <c r="Q192" s="6"/>
      <c r="R192" s="6"/>
      <c r="S192" s="8"/>
      <c r="T192" s="6"/>
    </row>
    <row r="193" spans="2:20">
      <c r="B193" s="6"/>
      <c r="C193" s="36"/>
      <c r="D193" s="37"/>
      <c r="E193" s="38"/>
      <c r="F193" s="38"/>
      <c r="G193" s="38"/>
      <c r="H193" s="38"/>
      <c r="I193" s="38"/>
      <c r="J193" s="38"/>
      <c r="K193" s="38"/>
      <c r="L193" s="6"/>
      <c r="M193" s="6"/>
      <c r="N193" s="6"/>
      <c r="O193" s="6"/>
      <c r="P193" s="6"/>
      <c r="Q193" s="6"/>
      <c r="R193" s="6"/>
      <c r="S193" s="8"/>
      <c r="T193" s="6"/>
    </row>
    <row r="194" spans="2:20">
      <c r="B194" s="6"/>
      <c r="C194" s="36"/>
      <c r="D194" s="37"/>
      <c r="E194" s="38"/>
      <c r="F194" s="38"/>
      <c r="G194" s="38"/>
      <c r="H194" s="38"/>
      <c r="I194" s="38"/>
      <c r="J194" s="38"/>
      <c r="K194" s="38"/>
      <c r="L194" s="6"/>
      <c r="M194" s="6"/>
      <c r="N194" s="6"/>
      <c r="O194" s="6"/>
      <c r="P194" s="6"/>
      <c r="Q194" s="6"/>
      <c r="R194" s="6"/>
      <c r="S194" s="8"/>
      <c r="T194" s="6"/>
    </row>
    <row r="195" spans="2:20">
      <c r="B195" s="6"/>
      <c r="C195" s="36"/>
      <c r="D195" s="37"/>
      <c r="E195" s="38"/>
      <c r="F195" s="38"/>
      <c r="G195" s="38"/>
      <c r="H195" s="38"/>
      <c r="I195" s="38"/>
      <c r="J195" s="38"/>
      <c r="K195" s="38"/>
      <c r="L195" s="6"/>
      <c r="M195" s="6"/>
      <c r="N195" s="6"/>
      <c r="O195" s="6"/>
      <c r="P195" s="6"/>
      <c r="Q195" s="6"/>
      <c r="R195" s="6"/>
      <c r="S195" s="8"/>
      <c r="T195" s="6"/>
    </row>
    <row r="196" spans="2:20">
      <c r="B196" s="6"/>
      <c r="C196" s="36"/>
      <c r="D196" s="37"/>
      <c r="E196" s="38"/>
      <c r="F196" s="38"/>
      <c r="G196" s="38"/>
      <c r="H196" s="38"/>
      <c r="I196" s="38"/>
      <c r="J196" s="38"/>
      <c r="K196" s="38"/>
      <c r="L196" s="6"/>
      <c r="M196" s="6"/>
      <c r="N196" s="6"/>
      <c r="O196" s="6"/>
      <c r="P196" s="6"/>
      <c r="Q196" s="6"/>
      <c r="R196" s="6"/>
      <c r="S196" s="8"/>
      <c r="T196" s="6"/>
    </row>
    <row r="197" spans="2:20">
      <c r="B197" s="6"/>
      <c r="C197" s="36"/>
      <c r="D197" s="37"/>
      <c r="E197" s="38"/>
      <c r="F197" s="38"/>
      <c r="G197" s="38"/>
      <c r="H197" s="38"/>
      <c r="I197" s="38"/>
      <c r="J197" s="38"/>
      <c r="K197" s="38"/>
      <c r="L197" s="6"/>
      <c r="M197" s="6"/>
      <c r="N197" s="6"/>
      <c r="O197" s="6"/>
      <c r="P197" s="6"/>
      <c r="Q197" s="6"/>
      <c r="R197" s="6"/>
      <c r="S197" s="8"/>
      <c r="T197" s="6"/>
    </row>
    <row r="198" spans="2:20">
      <c r="B198" s="6"/>
      <c r="C198" s="36"/>
      <c r="D198" s="37"/>
      <c r="E198" s="38"/>
      <c r="F198" s="38"/>
      <c r="G198" s="38"/>
      <c r="H198" s="38"/>
      <c r="I198" s="38"/>
      <c r="J198" s="38"/>
      <c r="K198" s="38"/>
      <c r="L198" s="6"/>
      <c r="M198" s="6"/>
      <c r="N198" s="6"/>
      <c r="O198" s="6"/>
      <c r="P198" s="6"/>
      <c r="Q198" s="6"/>
      <c r="R198" s="6"/>
      <c r="S198" s="8"/>
      <c r="T198" s="6"/>
    </row>
    <row r="199" spans="2:20">
      <c r="B199" s="6"/>
      <c r="C199" s="36"/>
      <c r="D199" s="37"/>
      <c r="E199" s="38"/>
      <c r="F199" s="38"/>
      <c r="G199" s="38"/>
      <c r="H199" s="38"/>
      <c r="I199" s="38"/>
      <c r="J199" s="38"/>
      <c r="K199" s="38"/>
      <c r="L199" s="6"/>
      <c r="M199" s="6"/>
      <c r="N199" s="6"/>
      <c r="O199" s="6"/>
      <c r="P199" s="6"/>
      <c r="Q199" s="6"/>
      <c r="R199" s="6"/>
      <c r="S199" s="8"/>
      <c r="T199" s="6"/>
    </row>
    <row r="200" spans="2:20">
      <c r="B200" s="6"/>
      <c r="C200" s="36"/>
      <c r="D200" s="37"/>
      <c r="E200" s="38"/>
      <c r="F200" s="38"/>
      <c r="G200" s="38"/>
      <c r="H200" s="38"/>
      <c r="I200" s="38"/>
      <c r="J200" s="38"/>
      <c r="K200" s="38"/>
      <c r="L200" s="6"/>
      <c r="M200" s="6"/>
      <c r="N200" s="6"/>
      <c r="O200" s="6"/>
      <c r="P200" s="6"/>
      <c r="Q200" s="6"/>
      <c r="R200" s="6"/>
      <c r="S200" s="8"/>
      <c r="T200" s="6"/>
    </row>
    <row r="201" spans="2:20">
      <c r="B201" s="6"/>
      <c r="C201" s="36"/>
      <c r="D201" s="37"/>
      <c r="E201" s="38"/>
      <c r="F201" s="38"/>
      <c r="G201" s="38"/>
      <c r="H201" s="38"/>
      <c r="I201" s="38"/>
      <c r="J201" s="38"/>
      <c r="K201" s="38"/>
      <c r="L201" s="6"/>
      <c r="M201" s="6"/>
      <c r="N201" s="6"/>
      <c r="O201" s="6"/>
      <c r="P201" s="6"/>
      <c r="Q201" s="6"/>
      <c r="R201" s="6"/>
      <c r="S201" s="8"/>
      <c r="T201" s="6"/>
    </row>
    <row r="202" spans="2:20">
      <c r="B202" s="6"/>
      <c r="C202" s="36"/>
      <c r="D202" s="37"/>
      <c r="E202" s="38"/>
      <c r="F202" s="38"/>
      <c r="G202" s="38"/>
      <c r="H202" s="38"/>
      <c r="I202" s="38"/>
      <c r="J202" s="38"/>
      <c r="K202" s="38"/>
      <c r="L202" s="6"/>
      <c r="M202" s="6"/>
      <c r="N202" s="6"/>
      <c r="O202" s="6"/>
      <c r="P202" s="6"/>
      <c r="Q202" s="6"/>
      <c r="R202" s="6"/>
      <c r="S202" s="8"/>
      <c r="T202" s="6"/>
    </row>
    <row r="203" spans="2:20">
      <c r="B203" s="47"/>
      <c r="C203" s="53"/>
      <c r="D203" s="54"/>
      <c r="E203" s="49"/>
      <c r="F203" s="49"/>
      <c r="G203" s="49"/>
      <c r="H203" s="38"/>
      <c r="I203" s="49"/>
      <c r="J203" s="49"/>
      <c r="K203" s="49"/>
      <c r="L203" s="6"/>
      <c r="M203" s="6"/>
      <c r="N203" s="6"/>
      <c r="O203" s="6"/>
      <c r="P203" s="6"/>
      <c r="Q203" s="6"/>
      <c r="R203" s="6"/>
      <c r="S203" s="8"/>
      <c r="T203" s="6"/>
    </row>
    <row r="204" spans="2:20">
      <c r="B204" s="47"/>
      <c r="C204" s="53"/>
      <c r="D204" s="54"/>
      <c r="E204" s="49"/>
      <c r="F204" s="49"/>
      <c r="G204" s="49"/>
      <c r="H204" s="49"/>
      <c r="I204" s="49"/>
      <c r="J204" s="49"/>
      <c r="K204" s="56"/>
      <c r="L204" s="6"/>
      <c r="M204" s="6"/>
      <c r="N204" s="47"/>
      <c r="O204" s="47"/>
      <c r="P204" s="47"/>
      <c r="Q204" s="47"/>
      <c r="R204" s="6"/>
      <c r="S204" s="8"/>
      <c r="T204" s="6"/>
    </row>
    <row r="205" spans="2:20" ht="18" customHeight="1">
      <c r="B205" s="47"/>
      <c r="C205" s="53"/>
      <c r="D205" s="54"/>
      <c r="E205" s="49"/>
      <c r="F205" s="61"/>
      <c r="G205" s="61"/>
      <c r="H205" s="49"/>
      <c r="I205" s="49"/>
      <c r="J205" s="49"/>
      <c r="K205" s="49"/>
      <c r="L205" s="6"/>
      <c r="M205" s="6"/>
      <c r="N205" s="47"/>
      <c r="O205" s="47"/>
      <c r="P205" s="47"/>
      <c r="Q205" s="47"/>
      <c r="R205" s="6"/>
      <c r="S205" s="8"/>
      <c r="T205" s="6"/>
    </row>
    <row r="206" spans="2:20" s="6" customFormat="1">
      <c r="B206" s="55"/>
      <c r="C206" s="48"/>
      <c r="D206" s="55"/>
      <c r="E206" s="55"/>
      <c r="F206" s="55"/>
      <c r="G206" s="55"/>
      <c r="H206" s="55"/>
      <c r="I206" s="55"/>
      <c r="J206" s="55"/>
      <c r="K206" s="55"/>
      <c r="N206" s="58"/>
      <c r="O206" s="58"/>
      <c r="P206" s="58"/>
      <c r="Q206" s="58"/>
      <c r="S206" s="8"/>
    </row>
    <row r="207" spans="2:20">
      <c r="B207" s="47"/>
      <c r="C207" s="48"/>
      <c r="D207" s="55"/>
      <c r="E207" s="55"/>
      <c r="F207" s="55"/>
      <c r="G207" s="55"/>
      <c r="H207" s="55"/>
      <c r="I207" s="55"/>
      <c r="J207" s="55"/>
      <c r="K207" s="55"/>
      <c r="L207" s="6"/>
      <c r="M207" s="6"/>
      <c r="N207" s="47"/>
      <c r="O207" s="47"/>
      <c r="P207" s="47"/>
      <c r="Q207" s="47"/>
      <c r="R207" s="6"/>
      <c r="S207" s="8"/>
      <c r="T207" s="6"/>
    </row>
    <row r="208" spans="2:20">
      <c r="B208" s="47"/>
      <c r="C208" s="53"/>
      <c r="D208" s="54"/>
      <c r="E208" s="49"/>
      <c r="F208" s="49"/>
      <c r="G208" s="49"/>
      <c r="H208" s="49"/>
      <c r="I208" s="49"/>
      <c r="J208" s="49"/>
      <c r="K208" s="49"/>
      <c r="L208" s="6"/>
      <c r="M208" s="6"/>
      <c r="N208" s="47"/>
      <c r="O208" s="47"/>
      <c r="P208" s="47"/>
      <c r="Q208" s="47"/>
      <c r="R208" s="6"/>
      <c r="S208" s="8"/>
      <c r="T208" s="6"/>
    </row>
    <row r="209" spans="2:20">
      <c r="B209" s="47"/>
      <c r="C209" s="53"/>
      <c r="D209" s="54"/>
      <c r="E209" s="49"/>
      <c r="F209" s="49"/>
      <c r="G209" s="49"/>
      <c r="H209" s="49"/>
      <c r="I209" s="49"/>
      <c r="J209" s="49"/>
      <c r="K209" s="38"/>
      <c r="L209" s="6"/>
      <c r="M209" s="6"/>
      <c r="N209" s="47"/>
      <c r="O209" s="47"/>
      <c r="P209" s="47"/>
      <c r="Q209" s="47"/>
      <c r="R209" s="6"/>
      <c r="S209" s="8"/>
      <c r="T209" s="6"/>
    </row>
    <row r="210" spans="2:20">
      <c r="B210" s="47"/>
      <c r="C210" s="53"/>
      <c r="D210" s="54"/>
      <c r="E210" s="49"/>
      <c r="F210" s="49"/>
      <c r="G210" s="49"/>
      <c r="H210" s="49"/>
      <c r="I210" s="49"/>
      <c r="J210" s="49"/>
      <c r="K210" s="38"/>
      <c r="L210" s="6"/>
      <c r="M210" s="6"/>
      <c r="N210" s="47"/>
      <c r="O210" s="47"/>
      <c r="P210" s="47"/>
      <c r="Q210" s="47"/>
      <c r="R210" s="6"/>
      <c r="S210" s="8"/>
      <c r="T210" s="6"/>
    </row>
    <row r="211" spans="2:20">
      <c r="B211" s="47"/>
      <c r="C211" s="53"/>
      <c r="D211" s="54"/>
      <c r="E211" s="49"/>
      <c r="F211" s="49"/>
      <c r="G211" s="49"/>
      <c r="H211" s="49"/>
      <c r="I211" s="49"/>
      <c r="J211" s="49"/>
      <c r="K211" s="38"/>
      <c r="L211" s="6"/>
      <c r="M211" s="6"/>
      <c r="N211" s="47"/>
      <c r="O211" s="47"/>
      <c r="P211" s="47"/>
      <c r="Q211" s="47"/>
      <c r="R211" s="6"/>
      <c r="S211" s="8"/>
      <c r="T211" s="6"/>
    </row>
    <row r="212" spans="2:20">
      <c r="B212" s="47"/>
      <c r="C212" s="53"/>
      <c r="D212" s="54"/>
      <c r="E212" s="49"/>
      <c r="F212" s="49"/>
      <c r="G212" s="49"/>
      <c r="H212" s="38"/>
      <c r="I212" s="38"/>
      <c r="J212" s="38"/>
      <c r="K212" s="38"/>
      <c r="L212" s="6"/>
      <c r="M212" s="6"/>
      <c r="N212" s="47"/>
      <c r="O212" s="47"/>
      <c r="P212" s="47"/>
      <c r="Q212" s="47"/>
      <c r="R212" s="6"/>
      <c r="S212" s="8"/>
      <c r="T212" s="6"/>
    </row>
    <row r="213" spans="2:20">
      <c r="B213" s="47"/>
      <c r="C213" s="53"/>
      <c r="D213" s="54"/>
      <c r="E213" s="49"/>
      <c r="F213" s="49"/>
      <c r="G213" s="49"/>
      <c r="H213" s="38"/>
      <c r="I213" s="38"/>
      <c r="J213" s="38"/>
      <c r="K213" s="38"/>
      <c r="L213" s="6"/>
      <c r="M213" s="6"/>
      <c r="N213" s="47"/>
      <c r="O213" s="47"/>
      <c r="P213" s="47"/>
      <c r="Q213" s="47"/>
      <c r="R213" s="6"/>
      <c r="S213" s="8"/>
      <c r="T213" s="6"/>
    </row>
    <row r="214" spans="2:20">
      <c r="B214" s="47"/>
      <c r="C214" s="53"/>
      <c r="D214" s="54"/>
      <c r="E214" s="49"/>
      <c r="F214" s="49"/>
      <c r="G214" s="49"/>
      <c r="H214" s="38"/>
      <c r="I214" s="38"/>
      <c r="J214" s="38"/>
      <c r="K214" s="38"/>
      <c r="L214" s="6"/>
      <c r="M214" s="6"/>
      <c r="N214" s="47"/>
      <c r="O214" s="47"/>
      <c r="P214" s="47"/>
      <c r="Q214" s="47"/>
      <c r="R214" s="6"/>
      <c r="S214" s="8"/>
      <c r="T214" s="6"/>
    </row>
    <row r="215" spans="2:20">
      <c r="B215" s="47"/>
      <c r="C215" s="53"/>
      <c r="D215" s="54"/>
      <c r="E215" s="49"/>
      <c r="F215" s="49"/>
      <c r="G215" s="49"/>
      <c r="H215" s="38"/>
      <c r="I215" s="38"/>
      <c r="J215" s="38"/>
      <c r="K215" s="38"/>
      <c r="L215" s="6"/>
      <c r="M215" s="6"/>
      <c r="N215" s="47"/>
      <c r="O215" s="47"/>
      <c r="P215" s="47"/>
      <c r="Q215" s="47"/>
      <c r="R215" s="6"/>
      <c r="S215" s="8"/>
      <c r="T215" s="6"/>
    </row>
    <row r="216" spans="2:20">
      <c r="B216" s="6"/>
      <c r="C216" s="36"/>
      <c r="D216" s="37"/>
      <c r="E216" s="38"/>
      <c r="F216" s="38"/>
      <c r="G216" s="38"/>
      <c r="H216" s="38"/>
      <c r="I216" s="38"/>
      <c r="J216" s="38"/>
      <c r="K216" s="38"/>
      <c r="L216" s="6"/>
      <c r="M216" s="6"/>
      <c r="N216" s="47"/>
      <c r="O216" s="47"/>
      <c r="P216" s="47"/>
      <c r="Q216" s="47"/>
      <c r="R216" s="6"/>
      <c r="S216" s="8"/>
      <c r="T216" s="6"/>
    </row>
    <row r="217" spans="2:20">
      <c r="B217" s="6"/>
      <c r="C217" s="36"/>
      <c r="D217" s="37"/>
      <c r="E217" s="38"/>
      <c r="F217" s="38"/>
      <c r="G217" s="38"/>
      <c r="H217" s="38"/>
      <c r="I217" s="38"/>
      <c r="J217" s="38"/>
      <c r="K217" s="38"/>
      <c r="L217" s="6"/>
      <c r="M217" s="6"/>
      <c r="N217" s="47"/>
      <c r="O217" s="47"/>
      <c r="P217" s="47"/>
      <c r="Q217" s="47"/>
      <c r="R217" s="6"/>
      <c r="S217" s="8"/>
      <c r="T217" s="6"/>
    </row>
    <row r="218" spans="2:20">
      <c r="B218" s="6"/>
      <c r="C218" s="36"/>
      <c r="D218" s="37"/>
      <c r="E218" s="38"/>
      <c r="F218" s="38"/>
      <c r="G218" s="38"/>
      <c r="H218" s="38"/>
      <c r="I218" s="38"/>
      <c r="J218" s="38"/>
      <c r="K218" s="38"/>
      <c r="L218" s="6"/>
      <c r="M218" s="6"/>
      <c r="N218" s="47"/>
      <c r="O218" s="47"/>
      <c r="P218" s="47"/>
      <c r="Q218" s="47"/>
      <c r="R218" s="6"/>
      <c r="S218" s="8"/>
      <c r="T218" s="6"/>
    </row>
    <row r="219" spans="2:20">
      <c r="B219" s="6"/>
      <c r="C219" s="36"/>
      <c r="D219" s="37"/>
      <c r="E219" s="38"/>
      <c r="F219" s="38"/>
      <c r="G219" s="38"/>
      <c r="H219" s="38"/>
      <c r="I219" s="38"/>
      <c r="J219" s="38"/>
      <c r="K219" s="38"/>
      <c r="L219" s="6"/>
      <c r="M219" s="6"/>
      <c r="N219" s="47"/>
      <c r="O219" s="47"/>
      <c r="P219" s="47"/>
      <c r="Q219" s="47"/>
      <c r="R219" s="6"/>
      <c r="S219" s="8"/>
      <c r="T219" s="6"/>
    </row>
    <row r="220" spans="2:20">
      <c r="B220" s="6"/>
      <c r="C220" s="36"/>
      <c r="D220" s="37"/>
      <c r="E220" s="38"/>
      <c r="F220" s="38"/>
      <c r="G220" s="38"/>
      <c r="H220" s="38"/>
      <c r="I220" s="38"/>
      <c r="J220" s="38"/>
      <c r="K220" s="38"/>
      <c r="L220" s="6"/>
      <c r="M220" s="6"/>
      <c r="N220" s="47"/>
      <c r="O220" s="47"/>
      <c r="P220" s="47"/>
      <c r="Q220" s="47"/>
      <c r="R220" s="6"/>
      <c r="S220" s="8"/>
      <c r="T220" s="6"/>
    </row>
    <row r="221" spans="2:20">
      <c r="B221" s="6"/>
      <c r="C221" s="36"/>
      <c r="D221" s="37"/>
      <c r="E221" s="38"/>
      <c r="F221" s="38"/>
      <c r="G221" s="38"/>
      <c r="H221" s="38"/>
      <c r="I221" s="38"/>
      <c r="J221" s="38"/>
      <c r="K221" s="38"/>
      <c r="L221" s="6"/>
      <c r="M221" s="6"/>
      <c r="N221" s="47"/>
      <c r="O221" s="47"/>
      <c r="P221" s="47"/>
      <c r="Q221" s="47"/>
      <c r="R221" s="6"/>
      <c r="S221" s="8"/>
      <c r="T221" s="6"/>
    </row>
    <row r="222" spans="2:20">
      <c r="B222" s="6"/>
      <c r="C222" s="36"/>
      <c r="D222" s="37"/>
      <c r="E222" s="38"/>
      <c r="F222" s="38"/>
      <c r="G222" s="38"/>
      <c r="H222" s="38"/>
      <c r="I222" s="38"/>
      <c r="J222" s="38"/>
      <c r="K222" s="38"/>
      <c r="L222" s="6"/>
      <c r="M222" s="6"/>
      <c r="N222" s="47"/>
      <c r="O222" s="47"/>
      <c r="P222" s="47"/>
      <c r="Q222" s="47"/>
      <c r="R222" s="6"/>
      <c r="S222" s="8"/>
      <c r="T222" s="6"/>
    </row>
    <row r="223" spans="2:20">
      <c r="B223" s="6"/>
      <c r="C223" s="36"/>
      <c r="D223" s="37"/>
      <c r="E223" s="38"/>
      <c r="F223" s="38"/>
      <c r="G223" s="38"/>
      <c r="H223" s="38"/>
      <c r="I223" s="38"/>
      <c r="J223" s="38"/>
      <c r="K223" s="38"/>
      <c r="L223" s="6"/>
      <c r="M223" s="6"/>
      <c r="N223" s="47"/>
      <c r="O223" s="47"/>
      <c r="P223" s="47"/>
      <c r="Q223" s="47"/>
      <c r="R223" s="6"/>
      <c r="S223" s="8"/>
      <c r="T223" s="6"/>
    </row>
    <row r="224" spans="2:20">
      <c r="B224" s="6"/>
      <c r="C224" s="36"/>
      <c r="D224" s="37"/>
      <c r="E224" s="38"/>
      <c r="F224" s="38"/>
      <c r="G224" s="38"/>
      <c r="H224" s="38"/>
      <c r="I224" s="38"/>
      <c r="J224" s="38"/>
      <c r="K224" s="38"/>
      <c r="L224" s="6"/>
      <c r="M224" s="6"/>
      <c r="N224" s="47"/>
      <c r="O224" s="47"/>
      <c r="P224" s="47"/>
      <c r="Q224" s="47"/>
      <c r="R224" s="6"/>
      <c r="S224" s="8"/>
      <c r="T224" s="6"/>
    </row>
    <row r="225" spans="2:20">
      <c r="B225" s="6"/>
      <c r="C225" s="36"/>
      <c r="D225" s="37"/>
      <c r="E225" s="38"/>
      <c r="F225" s="38"/>
      <c r="G225" s="38"/>
      <c r="H225" s="38"/>
      <c r="I225" s="38"/>
      <c r="J225" s="38"/>
      <c r="K225" s="38"/>
      <c r="L225" s="6"/>
      <c r="M225" s="6"/>
      <c r="N225" s="58"/>
      <c r="O225" s="58"/>
      <c r="P225" s="58"/>
      <c r="Q225" s="58"/>
      <c r="R225" s="6"/>
      <c r="S225" s="8"/>
      <c r="T225" s="6"/>
    </row>
    <row r="226" spans="2:20">
      <c r="B226" s="6"/>
      <c r="C226" s="36"/>
      <c r="D226" s="37"/>
      <c r="E226" s="38"/>
      <c r="F226" s="38"/>
      <c r="G226" s="38"/>
      <c r="H226" s="38"/>
      <c r="I226" s="38"/>
      <c r="J226" s="38"/>
      <c r="K226" s="38"/>
      <c r="L226" s="6"/>
      <c r="M226" s="6"/>
      <c r="N226" s="47"/>
      <c r="O226" s="47"/>
      <c r="P226" s="47"/>
      <c r="Q226" s="47"/>
      <c r="R226" s="6"/>
      <c r="S226" s="8"/>
      <c r="T226" s="6"/>
    </row>
    <row r="227" spans="2:20">
      <c r="B227" s="6"/>
      <c r="C227" s="36"/>
      <c r="D227" s="37"/>
      <c r="E227" s="38"/>
      <c r="F227" s="38"/>
      <c r="G227" s="38"/>
      <c r="H227" s="38"/>
      <c r="I227" s="38"/>
      <c r="J227" s="38"/>
      <c r="K227" s="38"/>
      <c r="L227" s="6"/>
      <c r="M227" s="6"/>
      <c r="N227" s="47"/>
      <c r="O227" s="47"/>
      <c r="P227" s="47"/>
      <c r="Q227" s="47"/>
      <c r="R227" s="6"/>
      <c r="S227" s="8"/>
      <c r="T227" s="6"/>
    </row>
    <row r="228" spans="2:20">
      <c r="B228" s="6"/>
      <c r="C228" s="36"/>
      <c r="D228" s="37"/>
      <c r="E228" s="38"/>
      <c r="F228" s="38"/>
      <c r="G228" s="38"/>
      <c r="H228" s="38"/>
      <c r="I228" s="38"/>
      <c r="J228" s="38"/>
      <c r="K228" s="38"/>
      <c r="L228" s="6"/>
      <c r="M228" s="6"/>
      <c r="N228" s="47"/>
      <c r="O228" s="47"/>
      <c r="P228" s="47"/>
      <c r="Q228" s="47"/>
      <c r="R228" s="6"/>
      <c r="S228" s="8"/>
      <c r="T228" s="6"/>
    </row>
    <row r="229" spans="2:20">
      <c r="B229" s="6"/>
      <c r="C229" s="36"/>
      <c r="D229" s="37"/>
      <c r="E229" s="38"/>
      <c r="F229" s="38"/>
      <c r="G229" s="38"/>
      <c r="H229" s="38"/>
      <c r="I229" s="38"/>
      <c r="J229" s="38"/>
      <c r="K229" s="38"/>
      <c r="L229" s="6"/>
      <c r="M229" s="6"/>
      <c r="N229" s="47"/>
      <c r="O229" s="47"/>
      <c r="P229" s="47"/>
      <c r="Q229" s="47"/>
      <c r="R229" s="6"/>
      <c r="S229" s="8"/>
      <c r="T229" s="6"/>
    </row>
    <row r="230" spans="2:20">
      <c r="B230" s="6"/>
      <c r="C230" s="36"/>
      <c r="D230" s="37"/>
      <c r="E230" s="38"/>
      <c r="F230" s="38"/>
      <c r="G230" s="38"/>
      <c r="H230" s="38"/>
      <c r="I230" s="38"/>
      <c r="J230" s="38"/>
      <c r="K230" s="38"/>
      <c r="L230" s="6"/>
      <c r="M230" s="6"/>
      <c r="N230" s="47"/>
      <c r="O230" s="47"/>
      <c r="P230" s="47"/>
      <c r="Q230" s="47"/>
      <c r="R230" s="6"/>
      <c r="S230" s="8"/>
      <c r="T230" s="6"/>
    </row>
    <row r="231" spans="2:20">
      <c r="B231" s="6"/>
      <c r="C231" s="36"/>
      <c r="D231" s="37"/>
      <c r="E231" s="38"/>
      <c r="F231" s="38"/>
      <c r="G231" s="38"/>
      <c r="H231" s="38"/>
      <c r="I231" s="38"/>
      <c r="J231" s="38"/>
      <c r="K231" s="38"/>
      <c r="L231" s="6"/>
      <c r="M231" s="6"/>
      <c r="N231" s="47"/>
      <c r="O231" s="47"/>
      <c r="P231" s="47"/>
      <c r="Q231" s="47"/>
      <c r="R231" s="6"/>
      <c r="S231" s="8"/>
      <c r="T231" s="6"/>
    </row>
    <row r="232" spans="2:20">
      <c r="B232" s="6"/>
      <c r="C232" s="36"/>
      <c r="D232" s="37"/>
      <c r="E232" s="38"/>
      <c r="F232" s="38"/>
      <c r="G232" s="38"/>
      <c r="H232" s="38"/>
      <c r="I232" s="38"/>
      <c r="J232" s="38"/>
      <c r="K232" s="38"/>
      <c r="L232" s="6"/>
      <c r="M232" s="6"/>
      <c r="N232" s="47"/>
      <c r="O232" s="47"/>
      <c r="P232" s="47"/>
      <c r="Q232" s="47"/>
      <c r="R232" s="6"/>
      <c r="S232" s="8"/>
      <c r="T232" s="6"/>
    </row>
    <row r="233" spans="2:20">
      <c r="B233" s="6"/>
      <c r="C233" s="36"/>
      <c r="D233" s="37"/>
      <c r="E233" s="38"/>
      <c r="F233" s="38"/>
      <c r="G233" s="38"/>
      <c r="H233" s="38"/>
      <c r="I233" s="38"/>
      <c r="J233" s="38"/>
      <c r="K233" s="38"/>
      <c r="L233" s="6"/>
      <c r="M233" s="6"/>
      <c r="N233" s="47"/>
      <c r="O233" s="47"/>
      <c r="P233" s="47"/>
      <c r="Q233" s="47"/>
      <c r="R233" s="6"/>
      <c r="S233" s="8"/>
      <c r="T233" s="6"/>
    </row>
    <row r="234" spans="2:20">
      <c r="B234" s="6"/>
      <c r="C234" s="36"/>
      <c r="D234" s="37"/>
      <c r="E234" s="38"/>
      <c r="F234" s="38"/>
      <c r="G234" s="38"/>
      <c r="H234" s="38"/>
      <c r="I234" s="38"/>
      <c r="J234" s="38"/>
      <c r="K234" s="38"/>
      <c r="L234" s="6"/>
      <c r="M234" s="6"/>
      <c r="N234" s="47"/>
      <c r="O234" s="47"/>
      <c r="P234" s="47"/>
      <c r="Q234" s="47"/>
      <c r="R234" s="6"/>
      <c r="S234" s="8"/>
      <c r="T234" s="6"/>
    </row>
    <row r="235" spans="2:20">
      <c r="B235" s="6"/>
      <c r="C235" s="36"/>
      <c r="D235" s="37"/>
      <c r="E235" s="38"/>
      <c r="F235" s="38"/>
      <c r="G235" s="38"/>
      <c r="H235" s="38"/>
      <c r="I235" s="38"/>
      <c r="J235" s="38"/>
      <c r="K235" s="38"/>
      <c r="L235" s="6"/>
      <c r="M235" s="6"/>
      <c r="N235" s="47"/>
      <c r="O235" s="47"/>
      <c r="P235" s="47"/>
      <c r="Q235" s="47"/>
      <c r="R235" s="6"/>
      <c r="S235" s="8"/>
      <c r="T235" s="6"/>
    </row>
    <row r="236" spans="2:20">
      <c r="B236" s="6"/>
      <c r="C236" s="36"/>
      <c r="D236" s="37"/>
      <c r="E236" s="38"/>
      <c r="F236" s="38"/>
      <c r="G236" s="38"/>
      <c r="H236" s="38"/>
      <c r="I236" s="38"/>
      <c r="J236" s="38"/>
      <c r="K236" s="38"/>
      <c r="L236" s="6"/>
      <c r="M236" s="6"/>
      <c r="N236" s="47"/>
      <c r="O236" s="47"/>
      <c r="P236" s="47"/>
      <c r="Q236" s="47"/>
      <c r="R236" s="6"/>
      <c r="S236" s="8"/>
      <c r="T236" s="6"/>
    </row>
    <row r="237" spans="2:20">
      <c r="B237" s="6"/>
      <c r="C237" s="36"/>
      <c r="D237" s="37"/>
      <c r="E237" s="38"/>
      <c r="F237" s="38"/>
      <c r="G237" s="38"/>
      <c r="H237" s="38"/>
      <c r="I237" s="38"/>
      <c r="J237" s="38"/>
      <c r="K237" s="38"/>
      <c r="L237" s="6"/>
      <c r="M237" s="6"/>
      <c r="N237" s="47"/>
      <c r="O237" s="47"/>
      <c r="P237" s="47"/>
      <c r="Q237" s="47"/>
      <c r="R237" s="6"/>
      <c r="S237" s="8"/>
      <c r="T237" s="6"/>
    </row>
    <row r="238" spans="2:20">
      <c r="B238" s="6"/>
      <c r="C238" s="36"/>
      <c r="D238" s="37"/>
      <c r="E238" s="38"/>
      <c r="F238" s="38"/>
      <c r="G238" s="38"/>
      <c r="H238" s="38"/>
      <c r="I238" s="38"/>
      <c r="J238" s="38"/>
      <c r="K238" s="38"/>
      <c r="L238" s="6"/>
      <c r="M238" s="6"/>
      <c r="N238" s="47"/>
      <c r="O238" s="47"/>
      <c r="P238" s="47"/>
      <c r="Q238" s="47"/>
      <c r="R238" s="6"/>
      <c r="S238" s="8"/>
      <c r="T238" s="6"/>
    </row>
    <row r="239" spans="2:20">
      <c r="B239" s="6"/>
      <c r="C239" s="36"/>
      <c r="D239" s="37"/>
      <c r="E239" s="38"/>
      <c r="F239" s="38"/>
      <c r="G239" s="38"/>
      <c r="H239" s="38"/>
      <c r="I239" s="38"/>
      <c r="J239" s="38"/>
      <c r="K239" s="38"/>
      <c r="L239" s="6"/>
      <c r="M239" s="6"/>
      <c r="N239" s="47"/>
      <c r="O239" s="47"/>
      <c r="P239" s="47"/>
      <c r="Q239" s="47"/>
      <c r="R239" s="6"/>
      <c r="S239" s="8"/>
      <c r="T239" s="6"/>
    </row>
    <row r="240" spans="2:20">
      <c r="B240" s="6"/>
      <c r="C240" s="36"/>
      <c r="D240" s="37"/>
      <c r="E240" s="38"/>
      <c r="F240" s="38"/>
      <c r="G240" s="38"/>
      <c r="H240" s="38"/>
      <c r="I240" s="38"/>
      <c r="J240" s="38"/>
      <c r="K240" s="38"/>
      <c r="L240" s="6"/>
      <c r="M240" s="6"/>
      <c r="N240" s="47"/>
      <c r="O240" s="47"/>
      <c r="P240" s="47"/>
      <c r="Q240" s="47"/>
      <c r="R240" s="6"/>
      <c r="S240" s="8"/>
      <c r="T240" s="6"/>
    </row>
    <row r="241" spans="2:20">
      <c r="B241" s="6"/>
      <c r="C241" s="36"/>
      <c r="D241" s="37"/>
      <c r="E241" s="38"/>
      <c r="F241" s="38"/>
      <c r="G241" s="38"/>
      <c r="H241" s="38"/>
      <c r="I241" s="38"/>
      <c r="J241" s="38"/>
      <c r="K241" s="38"/>
      <c r="L241" s="6"/>
      <c r="M241" s="6"/>
      <c r="N241" s="47"/>
      <c r="O241" s="47"/>
      <c r="P241" s="47"/>
      <c r="Q241" s="47"/>
      <c r="R241" s="6"/>
      <c r="S241" s="8"/>
      <c r="T241" s="6"/>
    </row>
    <row r="242" spans="2:20">
      <c r="B242" s="6"/>
      <c r="C242" s="36"/>
      <c r="D242" s="37"/>
      <c r="E242" s="38"/>
      <c r="F242" s="38"/>
      <c r="G242" s="38"/>
      <c r="H242" s="38"/>
      <c r="I242" s="38"/>
      <c r="J242" s="38"/>
      <c r="K242" s="38"/>
      <c r="L242" s="6"/>
      <c r="M242" s="6"/>
      <c r="N242" s="47"/>
      <c r="O242" s="47"/>
      <c r="P242" s="47"/>
      <c r="Q242" s="47"/>
      <c r="R242" s="6"/>
      <c r="S242" s="8"/>
      <c r="T242" s="6"/>
    </row>
    <row r="243" spans="2:20">
      <c r="B243" s="6"/>
      <c r="C243" s="36"/>
      <c r="D243" s="37"/>
      <c r="E243" s="38"/>
      <c r="F243" s="38"/>
      <c r="G243" s="38"/>
      <c r="H243" s="38"/>
      <c r="I243" s="38"/>
      <c r="J243" s="38"/>
      <c r="K243" s="38"/>
      <c r="L243" s="6"/>
      <c r="M243" s="6"/>
      <c r="N243" s="47"/>
      <c r="O243" s="47"/>
      <c r="P243" s="47"/>
      <c r="Q243" s="47"/>
      <c r="R243" s="6"/>
      <c r="S243" s="8"/>
      <c r="T243" s="6"/>
    </row>
    <row r="244" spans="2:20">
      <c r="B244" s="6"/>
      <c r="C244" s="36"/>
      <c r="D244" s="37"/>
      <c r="E244" s="38"/>
      <c r="F244" s="38"/>
      <c r="G244" s="38"/>
      <c r="H244" s="38"/>
      <c r="I244" s="38"/>
      <c r="J244" s="38"/>
      <c r="K244" s="38"/>
      <c r="L244" s="6"/>
      <c r="M244" s="6"/>
      <c r="N244" s="47"/>
      <c r="O244" s="47"/>
      <c r="P244" s="47"/>
      <c r="Q244" s="47"/>
      <c r="R244" s="6"/>
      <c r="S244" s="8"/>
      <c r="T244" s="6"/>
    </row>
    <row r="245" spans="2:20">
      <c r="B245" s="6"/>
      <c r="C245" s="36"/>
      <c r="D245" s="37"/>
      <c r="E245" s="38"/>
      <c r="F245" s="38"/>
      <c r="G245" s="38"/>
      <c r="H245" s="38"/>
      <c r="I245" s="38"/>
      <c r="J245" s="38"/>
      <c r="K245" s="38"/>
      <c r="L245" s="6"/>
      <c r="M245" s="6"/>
      <c r="N245" s="58"/>
      <c r="O245" s="58"/>
      <c r="P245" s="58"/>
      <c r="Q245" s="58"/>
      <c r="R245" s="6"/>
      <c r="S245" s="8"/>
      <c r="T245" s="6"/>
    </row>
    <row r="246" spans="2:20">
      <c r="B246" s="6"/>
      <c r="C246" s="36"/>
      <c r="D246" s="37"/>
      <c r="E246" s="38"/>
      <c r="F246" s="38"/>
      <c r="G246" s="38"/>
      <c r="H246" s="38"/>
      <c r="I246" s="38"/>
      <c r="J246" s="38"/>
      <c r="K246" s="38"/>
      <c r="L246" s="6"/>
      <c r="M246" s="6"/>
      <c r="N246" s="47"/>
      <c r="O246" s="47"/>
      <c r="P246" s="47"/>
      <c r="Q246" s="47"/>
      <c r="R246" s="6"/>
      <c r="S246" s="8"/>
      <c r="T246" s="6"/>
    </row>
    <row r="247" spans="2:20">
      <c r="B247" s="6"/>
      <c r="C247" s="36"/>
      <c r="D247" s="37"/>
      <c r="E247" s="38"/>
      <c r="F247" s="38"/>
      <c r="G247" s="38"/>
      <c r="H247" s="38"/>
      <c r="I247" s="38"/>
      <c r="J247" s="38"/>
      <c r="K247" s="38"/>
      <c r="L247" s="6"/>
      <c r="M247" s="6"/>
      <c r="N247" s="47"/>
      <c r="O247" s="47"/>
      <c r="P247" s="47"/>
      <c r="Q247" s="47"/>
      <c r="R247" s="6"/>
      <c r="S247" s="8"/>
      <c r="T247" s="6"/>
    </row>
    <row r="248" spans="2:20">
      <c r="B248" s="6"/>
      <c r="C248" s="36"/>
      <c r="D248" s="37"/>
      <c r="E248" s="38"/>
      <c r="F248" s="38"/>
      <c r="G248" s="38"/>
      <c r="H248" s="38"/>
      <c r="I248" s="38"/>
      <c r="J248" s="38"/>
      <c r="K248" s="38"/>
      <c r="L248" s="6"/>
      <c r="M248" s="6"/>
      <c r="N248" s="47"/>
      <c r="O248" s="47"/>
      <c r="P248" s="47"/>
      <c r="Q248" s="47"/>
      <c r="R248" s="6"/>
      <c r="S248" s="8"/>
      <c r="T248" s="6"/>
    </row>
    <row r="249" spans="2:20">
      <c r="B249" s="6"/>
      <c r="C249" s="36"/>
      <c r="D249" s="37"/>
      <c r="E249" s="38"/>
      <c r="F249" s="38"/>
      <c r="G249" s="38"/>
      <c r="H249" s="38"/>
      <c r="I249" s="38"/>
      <c r="J249" s="38"/>
      <c r="K249" s="38"/>
      <c r="L249" s="6"/>
      <c r="M249" s="6"/>
      <c r="N249" s="47"/>
      <c r="O249" s="47"/>
      <c r="P249" s="47"/>
      <c r="Q249" s="47"/>
      <c r="R249" s="6"/>
      <c r="S249" s="8"/>
      <c r="T249" s="6"/>
    </row>
    <row r="250" spans="2:20">
      <c r="B250" s="6"/>
      <c r="C250" s="36"/>
      <c r="D250" s="37"/>
      <c r="E250" s="38"/>
      <c r="F250" s="38"/>
      <c r="G250" s="38"/>
      <c r="H250" s="38"/>
      <c r="I250" s="38"/>
      <c r="J250" s="38"/>
      <c r="K250" s="38"/>
      <c r="L250" s="6"/>
      <c r="M250" s="6"/>
      <c r="N250" s="47"/>
      <c r="O250" s="47"/>
      <c r="P250" s="47"/>
      <c r="Q250" s="47"/>
      <c r="R250" s="6"/>
      <c r="S250" s="8"/>
      <c r="T250" s="6"/>
    </row>
    <row r="251" spans="2:20">
      <c r="B251" s="6"/>
      <c r="C251" s="36"/>
      <c r="D251" s="37"/>
      <c r="E251" s="38"/>
      <c r="F251" s="38"/>
      <c r="G251" s="38"/>
      <c r="H251" s="38"/>
      <c r="I251" s="38"/>
      <c r="J251" s="38"/>
      <c r="K251" s="38"/>
      <c r="L251" s="6"/>
      <c r="M251" s="6"/>
      <c r="N251" s="47"/>
      <c r="O251" s="47"/>
      <c r="P251" s="47"/>
      <c r="Q251" s="47"/>
      <c r="R251" s="6"/>
      <c r="S251" s="8"/>
      <c r="T251" s="6"/>
    </row>
    <row r="252" spans="2:20">
      <c r="B252" s="6"/>
      <c r="C252" s="36"/>
      <c r="D252" s="37"/>
      <c r="E252" s="38"/>
      <c r="F252" s="38"/>
      <c r="G252" s="38"/>
      <c r="H252" s="38"/>
      <c r="I252" s="38"/>
      <c r="J252" s="38"/>
      <c r="K252" s="38"/>
      <c r="L252" s="6"/>
      <c r="M252" s="6"/>
      <c r="N252" s="47"/>
      <c r="O252" s="47"/>
      <c r="P252" s="47"/>
      <c r="Q252" s="47"/>
      <c r="R252" s="6"/>
      <c r="S252" s="8"/>
      <c r="T252" s="6"/>
    </row>
    <row r="253" spans="2:20">
      <c r="B253" s="6"/>
      <c r="C253" s="36"/>
      <c r="D253" s="37"/>
      <c r="E253" s="38"/>
      <c r="F253" s="38"/>
      <c r="G253" s="38"/>
      <c r="H253" s="38"/>
      <c r="I253" s="38"/>
      <c r="J253" s="38"/>
      <c r="K253" s="38"/>
      <c r="L253" s="6"/>
      <c r="M253" s="6"/>
      <c r="N253" s="47"/>
      <c r="O253" s="47"/>
      <c r="P253" s="47"/>
      <c r="Q253" s="47"/>
      <c r="R253" s="6"/>
      <c r="S253" s="8"/>
      <c r="T253" s="6"/>
    </row>
    <row r="254" spans="2:20">
      <c r="B254" s="6"/>
      <c r="C254" s="36"/>
      <c r="D254" s="37"/>
      <c r="E254" s="38"/>
      <c r="F254" s="38"/>
      <c r="G254" s="38"/>
      <c r="H254" s="38"/>
      <c r="I254" s="38"/>
      <c r="J254" s="38"/>
      <c r="K254" s="38"/>
      <c r="L254" s="6"/>
      <c r="M254" s="6"/>
      <c r="N254" s="47"/>
      <c r="O254" s="47"/>
      <c r="P254" s="47"/>
      <c r="Q254" s="47"/>
      <c r="R254" s="6"/>
      <c r="S254" s="8"/>
      <c r="T254" s="6"/>
    </row>
    <row r="255" spans="2:20">
      <c r="B255" s="6"/>
      <c r="C255" s="36"/>
      <c r="D255" s="37"/>
      <c r="E255" s="38"/>
      <c r="F255" s="38"/>
      <c r="G255" s="38"/>
      <c r="H255" s="38"/>
      <c r="I255" s="38"/>
      <c r="J255" s="38"/>
      <c r="K255" s="38"/>
      <c r="L255" s="6"/>
      <c r="M255" s="6"/>
      <c r="N255" s="47"/>
      <c r="O255" s="47"/>
      <c r="P255" s="47"/>
      <c r="Q255" s="47"/>
      <c r="R255" s="6"/>
      <c r="S255" s="8"/>
      <c r="T255" s="6"/>
    </row>
    <row r="256" spans="2:20">
      <c r="B256" s="6"/>
      <c r="C256" s="36"/>
      <c r="D256" s="37"/>
      <c r="E256" s="38"/>
      <c r="F256" s="38"/>
      <c r="G256" s="38"/>
      <c r="H256" s="38"/>
      <c r="I256" s="38"/>
      <c r="J256" s="38"/>
      <c r="K256" s="38"/>
      <c r="L256" s="6"/>
      <c r="M256" s="6"/>
      <c r="N256" s="47"/>
      <c r="O256" s="47"/>
      <c r="P256" s="47"/>
      <c r="Q256" s="47"/>
      <c r="R256" s="6"/>
      <c r="S256" s="8"/>
      <c r="T256" s="6"/>
    </row>
    <row r="257" spans="2:20">
      <c r="B257" s="6"/>
      <c r="C257" s="36"/>
      <c r="D257" s="37"/>
      <c r="E257" s="38"/>
      <c r="F257" s="38"/>
      <c r="G257" s="38"/>
      <c r="H257" s="38"/>
      <c r="I257" s="38"/>
      <c r="J257" s="38"/>
      <c r="K257" s="38"/>
      <c r="L257" s="6"/>
      <c r="M257" s="6"/>
      <c r="N257" s="47"/>
      <c r="O257" s="47"/>
      <c r="P257" s="47"/>
      <c r="Q257" s="47"/>
      <c r="R257" s="6"/>
      <c r="S257" s="8"/>
      <c r="T257" s="6"/>
    </row>
    <row r="258" spans="2:20">
      <c r="B258" s="6"/>
      <c r="C258" s="36"/>
      <c r="D258" s="37"/>
      <c r="E258" s="38"/>
      <c r="F258" s="38"/>
      <c r="G258" s="38"/>
      <c r="H258" s="38"/>
      <c r="I258" s="38"/>
      <c r="J258" s="38"/>
      <c r="K258" s="38"/>
      <c r="L258" s="6"/>
      <c r="M258" s="6"/>
      <c r="N258" s="47"/>
      <c r="O258" s="47"/>
      <c r="P258" s="47"/>
      <c r="Q258" s="47"/>
      <c r="R258" s="6"/>
      <c r="S258" s="8"/>
      <c r="T258" s="6"/>
    </row>
    <row r="259" spans="2:20">
      <c r="B259" s="6"/>
      <c r="C259" s="36"/>
      <c r="D259" s="37"/>
      <c r="E259" s="38"/>
      <c r="F259" s="38"/>
      <c r="G259" s="38"/>
      <c r="H259" s="38"/>
      <c r="I259" s="38"/>
      <c r="J259" s="38"/>
      <c r="K259" s="38"/>
      <c r="L259" s="6"/>
      <c r="M259" s="6"/>
      <c r="N259" s="47"/>
      <c r="O259" s="47"/>
      <c r="P259" s="47"/>
      <c r="Q259" s="47"/>
      <c r="R259" s="6"/>
      <c r="S259" s="8"/>
      <c r="T259" s="6"/>
    </row>
    <row r="260" spans="2:20">
      <c r="B260" s="6"/>
      <c r="C260" s="36"/>
      <c r="D260" s="37"/>
      <c r="E260" s="38"/>
      <c r="F260" s="38"/>
      <c r="G260" s="38"/>
      <c r="H260" s="38"/>
      <c r="I260" s="38"/>
      <c r="J260" s="38"/>
      <c r="K260" s="38"/>
      <c r="L260" s="6"/>
      <c r="M260" s="6"/>
      <c r="N260" s="47"/>
      <c r="O260" s="47"/>
      <c r="P260" s="47"/>
      <c r="Q260" s="47"/>
      <c r="R260" s="6"/>
      <c r="S260" s="8"/>
      <c r="T260" s="6"/>
    </row>
    <row r="261" spans="2:20">
      <c r="B261" s="6"/>
      <c r="C261" s="36"/>
      <c r="D261" s="37"/>
      <c r="E261" s="38"/>
      <c r="F261" s="38"/>
      <c r="G261" s="38"/>
      <c r="H261" s="38"/>
      <c r="I261" s="38"/>
      <c r="J261" s="38"/>
      <c r="K261" s="38"/>
      <c r="L261" s="6"/>
      <c r="M261" s="6"/>
      <c r="N261" s="47"/>
      <c r="O261" s="47"/>
      <c r="P261" s="47"/>
      <c r="Q261" s="47"/>
      <c r="R261" s="6"/>
      <c r="S261" s="8"/>
      <c r="T261" s="6"/>
    </row>
    <row r="262" spans="2:20">
      <c r="B262" s="6"/>
      <c r="C262" s="36"/>
      <c r="D262" s="37"/>
      <c r="E262" s="38"/>
      <c r="F262" s="38"/>
      <c r="G262" s="38"/>
      <c r="H262" s="38"/>
      <c r="I262" s="38"/>
      <c r="J262" s="38"/>
      <c r="K262" s="38"/>
      <c r="L262" s="6"/>
      <c r="M262" s="6"/>
      <c r="N262" s="47"/>
      <c r="O262" s="47"/>
      <c r="P262" s="47"/>
      <c r="Q262" s="47"/>
      <c r="R262" s="6"/>
      <c r="S262" s="8"/>
      <c r="T262" s="6"/>
    </row>
    <row r="263" spans="2:20">
      <c r="B263" s="6"/>
      <c r="C263" s="36"/>
      <c r="D263" s="37"/>
      <c r="E263" s="38"/>
      <c r="F263" s="38"/>
      <c r="G263" s="38"/>
      <c r="H263" s="38"/>
      <c r="I263" s="38"/>
      <c r="J263" s="38"/>
      <c r="K263" s="38"/>
      <c r="L263" s="6"/>
      <c r="M263" s="6"/>
      <c r="N263" s="47"/>
      <c r="O263" s="47"/>
      <c r="P263" s="47"/>
      <c r="Q263" s="47"/>
      <c r="R263" s="6"/>
      <c r="S263" s="8"/>
      <c r="T263" s="6"/>
    </row>
    <row r="264" spans="2:20">
      <c r="B264" s="6"/>
      <c r="C264" s="36"/>
      <c r="D264" s="37"/>
      <c r="E264" s="38"/>
      <c r="F264" s="38"/>
      <c r="G264" s="38"/>
      <c r="H264" s="38"/>
      <c r="I264" s="38"/>
      <c r="J264" s="38"/>
      <c r="K264" s="38"/>
      <c r="L264" s="6"/>
      <c r="M264" s="6"/>
      <c r="N264" s="47"/>
      <c r="O264" s="47"/>
      <c r="P264" s="47"/>
      <c r="Q264" s="47"/>
      <c r="R264" s="6"/>
      <c r="S264" s="8"/>
      <c r="T264" s="6"/>
    </row>
    <row r="265" spans="2:20">
      <c r="B265" s="6"/>
      <c r="C265" s="36"/>
      <c r="D265" s="37"/>
      <c r="E265" s="38"/>
      <c r="F265" s="38"/>
      <c r="G265" s="38"/>
      <c r="H265" s="38"/>
      <c r="I265" s="38"/>
      <c r="J265" s="38"/>
      <c r="K265" s="38"/>
      <c r="L265" s="6"/>
      <c r="M265" s="6"/>
      <c r="N265" s="47"/>
      <c r="O265" s="47"/>
      <c r="P265" s="47"/>
      <c r="Q265" s="47"/>
      <c r="R265" s="6"/>
      <c r="S265" s="8"/>
      <c r="T265" s="6"/>
    </row>
    <row r="266" spans="2:20">
      <c r="B266" s="6"/>
      <c r="C266" s="36"/>
      <c r="D266" s="37"/>
      <c r="E266" s="38"/>
      <c r="F266" s="38"/>
      <c r="G266" s="38"/>
      <c r="H266" s="38"/>
      <c r="I266" s="38"/>
      <c r="J266" s="38"/>
      <c r="K266" s="38"/>
      <c r="L266" s="6"/>
      <c r="M266" s="6"/>
      <c r="N266" s="47"/>
      <c r="O266" s="47"/>
      <c r="P266" s="47"/>
      <c r="Q266" s="47"/>
      <c r="R266" s="6"/>
      <c r="S266" s="8"/>
      <c r="T266" s="6"/>
    </row>
    <row r="267" spans="2:20">
      <c r="B267" s="6"/>
      <c r="C267" s="36"/>
      <c r="D267" s="37"/>
      <c r="E267" s="38"/>
      <c r="F267" s="38"/>
      <c r="G267" s="38"/>
      <c r="H267" s="38"/>
      <c r="I267" s="38"/>
      <c r="J267" s="38"/>
      <c r="K267" s="38"/>
      <c r="L267" s="6"/>
      <c r="M267" s="6"/>
      <c r="N267" s="47"/>
      <c r="O267" s="47"/>
      <c r="P267" s="47"/>
      <c r="Q267" s="47"/>
      <c r="R267" s="6"/>
      <c r="S267" s="8"/>
      <c r="T267" s="6"/>
    </row>
    <row r="268" spans="2:20">
      <c r="B268" s="6"/>
      <c r="C268" s="36"/>
      <c r="D268" s="37"/>
      <c r="E268" s="38"/>
      <c r="F268" s="38"/>
      <c r="G268" s="38"/>
      <c r="H268" s="38"/>
      <c r="I268" s="38"/>
      <c r="J268" s="38"/>
      <c r="K268" s="38"/>
      <c r="L268" s="6"/>
      <c r="M268" s="6"/>
      <c r="N268" s="47"/>
      <c r="O268" s="47"/>
      <c r="P268" s="47"/>
      <c r="Q268" s="47"/>
      <c r="R268" s="6"/>
      <c r="S268" s="8"/>
      <c r="T268" s="6"/>
    </row>
    <row r="269" spans="2:20">
      <c r="B269" s="6"/>
      <c r="C269" s="36"/>
      <c r="D269" s="37"/>
      <c r="E269" s="38"/>
      <c r="F269" s="38"/>
      <c r="G269" s="38"/>
      <c r="H269" s="38"/>
      <c r="I269" s="38"/>
      <c r="J269" s="38"/>
      <c r="K269" s="38"/>
      <c r="L269" s="6"/>
      <c r="M269" s="6"/>
      <c r="N269" s="47"/>
      <c r="O269" s="47"/>
      <c r="P269" s="47"/>
      <c r="Q269" s="47"/>
      <c r="R269" s="6"/>
      <c r="S269" s="8"/>
      <c r="T269" s="6"/>
    </row>
    <row r="270" spans="2:20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47"/>
      <c r="O270" s="47"/>
      <c r="P270" s="47"/>
      <c r="Q270" s="47"/>
      <c r="R270" s="6"/>
      <c r="S270" s="8"/>
      <c r="T270" s="6"/>
    </row>
    <row r="271" spans="2:20">
      <c r="N271" s="50"/>
      <c r="O271" s="50"/>
      <c r="P271" s="50"/>
      <c r="Q271" s="50"/>
    </row>
    <row r="272" spans="2:20">
      <c r="N272" s="50"/>
      <c r="O272" s="50"/>
      <c r="P272" s="50"/>
      <c r="Q272" s="50"/>
    </row>
    <row r="273" spans="14:17">
      <c r="N273" s="50"/>
      <c r="O273" s="50"/>
      <c r="P273" s="50"/>
      <c r="Q273" s="50"/>
    </row>
    <row r="274" spans="14:17">
      <c r="N274" s="50"/>
      <c r="O274" s="50"/>
      <c r="P274" s="50"/>
      <c r="Q274" s="50"/>
    </row>
    <row r="275" spans="14:17">
      <c r="N275" s="50"/>
      <c r="O275" s="50"/>
      <c r="P275" s="50"/>
      <c r="Q275" s="50"/>
    </row>
    <row r="276" spans="14:17">
      <c r="N276" s="50"/>
      <c r="O276" s="50"/>
      <c r="P276" s="50"/>
      <c r="Q276" s="50"/>
    </row>
    <row r="277" spans="14:17">
      <c r="N277" s="50"/>
      <c r="O277" s="50"/>
      <c r="P277" s="50"/>
      <c r="Q277" s="50"/>
    </row>
    <row r="278" spans="14:17">
      <c r="N278" s="50"/>
      <c r="O278" s="50"/>
      <c r="P278" s="50"/>
      <c r="Q278" s="50"/>
    </row>
    <row r="279" spans="14:17">
      <c r="N279" s="50"/>
      <c r="O279" s="50"/>
      <c r="P279" s="50"/>
      <c r="Q279" s="50"/>
    </row>
  </sheetData>
  <mergeCells count="22">
    <mergeCell ref="F205:G205"/>
    <mergeCell ref="N206:Q206"/>
    <mergeCell ref="N225:Q225"/>
    <mergeCell ref="N245:Q245"/>
    <mergeCell ref="N93:P93"/>
    <mergeCell ref="N112:Q112"/>
    <mergeCell ref="F139:G139"/>
    <mergeCell ref="N140:P140"/>
    <mergeCell ref="N160:P160"/>
    <mergeCell ref="N181:Q181"/>
    <mergeCell ref="AA17:AB17"/>
    <mergeCell ref="AA18:AB18"/>
    <mergeCell ref="N28:P28"/>
    <mergeCell ref="N49:Q49"/>
    <mergeCell ref="E73:F73"/>
    <mergeCell ref="N74:P74"/>
    <mergeCell ref="D3:I4"/>
    <mergeCell ref="S4:W5"/>
    <mergeCell ref="E7:F7"/>
    <mergeCell ref="AF7:AH7"/>
    <mergeCell ref="N8:P8"/>
    <mergeCell ref="AA8:AC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R67"/>
  <sheetViews>
    <sheetView showGridLines="0" workbookViewId="0">
      <selection activeCell="N43" sqref="N43"/>
    </sheetView>
  </sheetViews>
  <sheetFormatPr defaultRowHeight="15"/>
  <cols>
    <col min="1" max="1" width="3.140625" customWidth="1"/>
    <col min="2" max="2" width="12.42578125" customWidth="1"/>
    <col min="4" max="4" width="11" customWidth="1"/>
    <col min="10" max="10" width="14.42578125" customWidth="1"/>
    <col min="11" max="11" width="13.7109375" customWidth="1"/>
  </cols>
  <sheetData>
    <row r="2" spans="2:17" ht="15.75" thickBot="1"/>
    <row r="3" spans="2:17" ht="16.5">
      <c r="B3" s="71"/>
      <c r="C3" s="40"/>
      <c r="D3" s="41"/>
      <c r="E3" s="42" t="s">
        <v>28</v>
      </c>
      <c r="F3" s="42"/>
      <c r="G3" s="42"/>
      <c r="H3" s="43"/>
      <c r="I3" s="43"/>
      <c r="J3" s="43"/>
      <c r="K3" s="43"/>
    </row>
    <row r="4" spans="2:17">
      <c r="B4" s="14" t="str">
        <f>'Apple Stock'!B8</f>
        <v>Comp Name</v>
      </c>
      <c r="C4" s="14" t="str">
        <f>'Apple Stock'!C8</f>
        <v>Ticker</v>
      </c>
      <c r="D4" s="14" t="str">
        <f>'Apple Stock'!D8</f>
        <v>Date</v>
      </c>
      <c r="E4" s="14" t="str">
        <f>'Apple Stock'!E8</f>
        <v>Open</v>
      </c>
      <c r="F4" s="14" t="str">
        <f>'Apple Stock'!F8</f>
        <v>High</v>
      </c>
      <c r="G4" s="14" t="str">
        <f>'Apple Stock'!G8</f>
        <v>Low</v>
      </c>
      <c r="H4" s="14" t="str">
        <f>'Apple Stock'!H8</f>
        <v>Close</v>
      </c>
      <c r="I4" s="14" t="str">
        <f>'Apple Stock'!I8</f>
        <v>Adj Close</v>
      </c>
      <c r="J4" s="14" t="str">
        <f>'Apple Stock'!J8</f>
        <v>Volume</v>
      </c>
      <c r="K4" s="14" t="str">
        <f>'Apple Stock'!K8</f>
        <v>Daily returns</v>
      </c>
      <c r="N4" s="15" t="s">
        <v>29</v>
      </c>
      <c r="O4" s="15"/>
      <c r="P4" s="15"/>
      <c r="Q4" s="15"/>
    </row>
    <row r="5" spans="2:17">
      <c r="B5" s="6"/>
      <c r="C5" s="11"/>
      <c r="D5" s="11"/>
      <c r="E5" s="11"/>
      <c r="F5" s="11"/>
      <c r="G5" s="11"/>
      <c r="H5" s="11"/>
      <c r="I5" s="11"/>
      <c r="J5" s="11"/>
      <c r="K5" s="11"/>
    </row>
    <row r="6" spans="2:17">
      <c r="B6" t="s">
        <v>30</v>
      </c>
      <c r="C6" s="19" t="s">
        <v>5</v>
      </c>
      <c r="D6" s="20">
        <v>44964</v>
      </c>
      <c r="E6" s="21">
        <v>260.52999877929602</v>
      </c>
      <c r="F6" s="21">
        <v>268.76998901367102</v>
      </c>
      <c r="G6" s="21">
        <v>260.079986572265</v>
      </c>
      <c r="H6" s="21">
        <v>267.55999755859301</v>
      </c>
      <c r="I6" s="21">
        <v>266.891510009765</v>
      </c>
      <c r="J6" s="21">
        <v>50841400</v>
      </c>
      <c r="K6" s="24"/>
    </row>
    <row r="7" spans="2:17">
      <c r="B7" t="s">
        <v>30</v>
      </c>
      <c r="C7" s="19" t="s">
        <v>5</v>
      </c>
      <c r="D7" s="20">
        <v>44965</v>
      </c>
      <c r="E7" s="21">
        <v>273.20001220703102</v>
      </c>
      <c r="F7" s="21">
        <v>276.760009765625</v>
      </c>
      <c r="G7" s="21">
        <v>266.20999145507801</v>
      </c>
      <c r="H7" s="21">
        <v>266.73001098632801</v>
      </c>
      <c r="I7" s="21">
        <v>266.06359863281199</v>
      </c>
      <c r="J7" s="21">
        <v>54686000</v>
      </c>
      <c r="K7" s="24">
        <f>I7-I6/I6</f>
        <v>265.06359863281199</v>
      </c>
    </row>
    <row r="8" spans="2:17">
      <c r="B8" t="s">
        <v>30</v>
      </c>
      <c r="C8" s="19" t="s">
        <v>5</v>
      </c>
      <c r="D8" s="20">
        <v>44966</v>
      </c>
      <c r="E8" s="21">
        <v>273.79998779296801</v>
      </c>
      <c r="F8" s="21">
        <v>273.98001098632801</v>
      </c>
      <c r="G8" s="21">
        <v>262.79998779296801</v>
      </c>
      <c r="H8" s="21">
        <v>263.61999511718699</v>
      </c>
      <c r="I8" s="21">
        <v>262.96136474609301</v>
      </c>
      <c r="J8" s="21">
        <v>42375100</v>
      </c>
      <c r="K8" s="24">
        <f t="shared" ref="K8:K67" si="0">I8-I7/I7</f>
        <v>261.96136474609301</v>
      </c>
    </row>
    <row r="9" spans="2:17">
      <c r="B9" t="s">
        <v>30</v>
      </c>
      <c r="C9" s="19" t="s">
        <v>5</v>
      </c>
      <c r="D9" s="20">
        <v>44967</v>
      </c>
      <c r="E9" s="21">
        <v>261.52999877929602</v>
      </c>
      <c r="F9" s="21">
        <v>264.08999633789</v>
      </c>
      <c r="G9" s="21">
        <v>260.66000366210898</v>
      </c>
      <c r="H9" s="21">
        <v>263.100006103515</v>
      </c>
      <c r="I9" s="21">
        <v>262.44265747070301</v>
      </c>
      <c r="J9" s="21">
        <v>25818500</v>
      </c>
      <c r="K9" s="24">
        <f t="shared" si="0"/>
        <v>261.44265747070301</v>
      </c>
    </row>
    <row r="10" spans="2:17">
      <c r="B10" t="s">
        <v>30</v>
      </c>
      <c r="C10" s="19" t="s">
        <v>5</v>
      </c>
      <c r="D10" s="20">
        <v>44970</v>
      </c>
      <c r="E10" s="21">
        <v>267.64001464843699</v>
      </c>
      <c r="F10" s="21">
        <v>274.600006103515</v>
      </c>
      <c r="G10" s="21">
        <v>267.14999389648398</v>
      </c>
      <c r="H10" s="21">
        <v>271.32000732421801</v>
      </c>
      <c r="I10" s="21">
        <v>270.64212036132801</v>
      </c>
      <c r="J10" s="21">
        <v>44630900</v>
      </c>
      <c r="K10" s="24">
        <f t="shared" si="0"/>
        <v>269.64212036132801</v>
      </c>
    </row>
    <row r="11" spans="2:17">
      <c r="B11" t="s">
        <v>30</v>
      </c>
      <c r="C11" s="19" t="s">
        <v>5</v>
      </c>
      <c r="D11" s="20">
        <v>44971</v>
      </c>
      <c r="E11" s="21">
        <v>272.67001342773398</v>
      </c>
      <c r="F11" s="21">
        <v>274.97000122070301</v>
      </c>
      <c r="G11" s="21">
        <v>269.27999877929602</v>
      </c>
      <c r="H11" s="21">
        <v>272.17001342773398</v>
      </c>
      <c r="I11" s="21">
        <v>271.49002075195301</v>
      </c>
      <c r="J11" s="21">
        <v>37047900</v>
      </c>
      <c r="K11" s="24">
        <f t="shared" si="0"/>
        <v>270.49002075195301</v>
      </c>
    </row>
    <row r="12" spans="2:17">
      <c r="B12" t="s">
        <v>30</v>
      </c>
      <c r="C12" s="19" t="s">
        <v>5</v>
      </c>
      <c r="D12" s="20">
        <v>44972</v>
      </c>
      <c r="E12" s="21">
        <v>268.32000732421801</v>
      </c>
      <c r="F12" s="21">
        <v>270.73001098632801</v>
      </c>
      <c r="G12" s="21">
        <v>266.17999267578102</v>
      </c>
      <c r="H12" s="21">
        <v>269.32000732421801</v>
      </c>
      <c r="I12" s="21">
        <v>269.32000732421801</v>
      </c>
      <c r="J12" s="21">
        <v>28922400</v>
      </c>
      <c r="K12" s="24">
        <f t="shared" si="0"/>
        <v>268.32000732421801</v>
      </c>
    </row>
    <row r="13" spans="2:17">
      <c r="B13" t="s">
        <v>30</v>
      </c>
      <c r="C13" s="19" t="s">
        <v>5</v>
      </c>
      <c r="D13" s="20">
        <v>44973</v>
      </c>
      <c r="E13" s="21">
        <v>264.01998901367102</v>
      </c>
      <c r="F13" s="21">
        <v>266.739990234375</v>
      </c>
      <c r="G13" s="21">
        <v>261.89999389648398</v>
      </c>
      <c r="H13" s="21">
        <v>262.14999389648398</v>
      </c>
      <c r="I13" s="21">
        <v>262.14999389648398</v>
      </c>
      <c r="J13" s="21">
        <v>29603600</v>
      </c>
      <c r="K13" s="24">
        <f t="shared" si="0"/>
        <v>261.14999389648398</v>
      </c>
    </row>
    <row r="14" spans="2:17">
      <c r="B14" t="s">
        <v>30</v>
      </c>
      <c r="C14" s="19" t="s">
        <v>5</v>
      </c>
      <c r="D14" s="20">
        <v>44974</v>
      </c>
      <c r="E14" s="21">
        <v>259.39001464843699</v>
      </c>
      <c r="F14" s="21">
        <v>260.08999633789</v>
      </c>
      <c r="G14" s="21">
        <v>256</v>
      </c>
      <c r="H14" s="21">
        <v>258.05999755859301</v>
      </c>
      <c r="I14" s="21">
        <v>258.05999755859301</v>
      </c>
      <c r="J14" s="21">
        <v>30000100</v>
      </c>
      <c r="K14" s="24">
        <f t="shared" si="0"/>
        <v>257.05999755859301</v>
      </c>
    </row>
    <row r="15" spans="2:17">
      <c r="B15" t="s">
        <v>30</v>
      </c>
      <c r="C15" s="19" t="s">
        <v>5</v>
      </c>
      <c r="D15" s="20">
        <v>44978</v>
      </c>
      <c r="E15" s="21">
        <v>254.47999572753901</v>
      </c>
      <c r="F15" s="21">
        <v>255.49000549316401</v>
      </c>
      <c r="G15" s="21">
        <v>251.58999633789</v>
      </c>
      <c r="H15" s="21">
        <v>252.669998168945</v>
      </c>
      <c r="I15" s="21">
        <v>252.669998168945</v>
      </c>
      <c r="J15" s="21">
        <v>28397400</v>
      </c>
      <c r="K15" s="24">
        <f t="shared" si="0"/>
        <v>251.669998168945</v>
      </c>
    </row>
    <row r="16" spans="2:17">
      <c r="B16" t="s">
        <v>30</v>
      </c>
      <c r="C16" s="19" t="s">
        <v>5</v>
      </c>
      <c r="D16" s="20">
        <v>44979</v>
      </c>
      <c r="E16" s="21">
        <v>254.08999633789</v>
      </c>
      <c r="F16" s="21">
        <v>254.33999633789</v>
      </c>
      <c r="G16" s="21">
        <v>250.33999633789</v>
      </c>
      <c r="H16" s="21">
        <v>251.509994506835</v>
      </c>
      <c r="I16" s="21">
        <v>251.509994506835</v>
      </c>
      <c r="J16" s="21">
        <v>22491100</v>
      </c>
      <c r="K16" s="24">
        <f t="shared" si="0"/>
        <v>250.509994506835</v>
      </c>
    </row>
    <row r="17" spans="2:18">
      <c r="B17" t="s">
        <v>30</v>
      </c>
      <c r="C17" s="19" t="s">
        <v>5</v>
      </c>
      <c r="D17" s="20">
        <v>44980</v>
      </c>
      <c r="E17" s="21">
        <v>255.55999755859301</v>
      </c>
      <c r="F17" s="21">
        <v>256.83999633789</v>
      </c>
      <c r="G17" s="21">
        <v>250.47999572753901</v>
      </c>
      <c r="H17" s="21">
        <v>254.77000427246</v>
      </c>
      <c r="I17" s="21">
        <v>254.77000427246</v>
      </c>
      <c r="J17" s="21">
        <v>29219100</v>
      </c>
      <c r="K17" s="24">
        <f t="shared" si="0"/>
        <v>253.77000427246</v>
      </c>
    </row>
    <row r="18" spans="2:18">
      <c r="B18" t="s">
        <v>30</v>
      </c>
      <c r="C18" s="19" t="s">
        <v>5</v>
      </c>
      <c r="D18" s="20">
        <v>44981</v>
      </c>
      <c r="E18" s="21">
        <v>249.96000671386699</v>
      </c>
      <c r="F18" s="21">
        <v>251</v>
      </c>
      <c r="G18" s="21">
        <v>248.100006103515</v>
      </c>
      <c r="H18" s="21">
        <v>249.22000122070301</v>
      </c>
      <c r="I18" s="21">
        <v>249.22000122070301</v>
      </c>
      <c r="J18" s="21">
        <v>24990900</v>
      </c>
      <c r="K18" s="24">
        <f t="shared" si="0"/>
        <v>248.22000122070301</v>
      </c>
    </row>
    <row r="19" spans="2:18">
      <c r="B19" t="s">
        <v>30</v>
      </c>
      <c r="C19" s="19" t="s">
        <v>5</v>
      </c>
      <c r="D19" s="20">
        <v>44984</v>
      </c>
      <c r="E19" s="21">
        <v>252.46000671386699</v>
      </c>
      <c r="F19" s="21">
        <v>252.82000732421801</v>
      </c>
      <c r="G19" s="21">
        <v>249.38999938964801</v>
      </c>
      <c r="H19" s="21">
        <v>250.16000366210901</v>
      </c>
      <c r="I19" s="21">
        <v>250.16000366210901</v>
      </c>
      <c r="J19" s="21">
        <v>21190000</v>
      </c>
      <c r="K19" s="24">
        <f t="shared" si="0"/>
        <v>249.16000366210901</v>
      </c>
    </row>
    <row r="20" spans="2:18">
      <c r="B20" t="s">
        <v>30</v>
      </c>
      <c r="C20" s="19" t="s">
        <v>5</v>
      </c>
      <c r="D20" s="20">
        <v>44985</v>
      </c>
      <c r="E20" s="21">
        <v>249.07000732421801</v>
      </c>
      <c r="F20" s="21">
        <v>251.49000549316401</v>
      </c>
      <c r="G20" s="21">
        <v>248.72999572753901</v>
      </c>
      <c r="H20" s="21">
        <v>249.419998168945</v>
      </c>
      <c r="I20" s="21">
        <v>249.419998168945</v>
      </c>
      <c r="J20" s="21">
        <v>22491000</v>
      </c>
      <c r="K20" s="24">
        <f t="shared" si="0"/>
        <v>248.419998168945</v>
      </c>
    </row>
    <row r="21" spans="2:18">
      <c r="B21" t="s">
        <v>30</v>
      </c>
      <c r="C21" s="19" t="s">
        <v>5</v>
      </c>
      <c r="D21" s="20">
        <v>44986</v>
      </c>
      <c r="E21" s="21">
        <v>250.759994506835</v>
      </c>
      <c r="F21" s="21">
        <v>250.92999267578099</v>
      </c>
      <c r="G21" s="21">
        <v>245.78999328613199</v>
      </c>
      <c r="H21" s="21">
        <v>246.27000427246</v>
      </c>
      <c r="I21" s="21">
        <v>246.27000427246</v>
      </c>
      <c r="J21" s="21">
        <v>27565300</v>
      </c>
      <c r="K21" s="24">
        <f t="shared" si="0"/>
        <v>245.27000427246</v>
      </c>
    </row>
    <row r="22" spans="2:18">
      <c r="B22" t="s">
        <v>30</v>
      </c>
      <c r="C22" s="19" t="s">
        <v>5</v>
      </c>
      <c r="D22" s="20">
        <v>44987</v>
      </c>
      <c r="E22" s="21">
        <v>246.55000305175699</v>
      </c>
      <c r="F22" s="21">
        <v>251.39999389648401</v>
      </c>
      <c r="G22" s="21">
        <v>245.61000061035099</v>
      </c>
      <c r="H22" s="21">
        <v>251.11000061035099</v>
      </c>
      <c r="I22" s="21">
        <v>251.11000061035099</v>
      </c>
      <c r="J22" s="21">
        <v>24808200</v>
      </c>
      <c r="K22" s="24">
        <f t="shared" si="0"/>
        <v>250.11000061035099</v>
      </c>
      <c r="N22" s="15" t="s">
        <v>41</v>
      </c>
      <c r="O22" s="15"/>
      <c r="P22" s="15"/>
      <c r="Q22" s="15"/>
      <c r="R22" s="15"/>
    </row>
    <row r="23" spans="2:18">
      <c r="B23" t="s">
        <v>30</v>
      </c>
      <c r="C23" s="19" t="s">
        <v>5</v>
      </c>
      <c r="D23" s="20">
        <v>44988</v>
      </c>
      <c r="E23" s="21">
        <v>252.19000244140599</v>
      </c>
      <c r="F23" s="21">
        <v>255.61999511718699</v>
      </c>
      <c r="G23" s="21">
        <v>251.38999938964801</v>
      </c>
      <c r="H23" s="21">
        <v>255.28999328613199</v>
      </c>
      <c r="I23" s="21">
        <v>255.28999328613199</v>
      </c>
      <c r="J23" s="21">
        <v>30760100</v>
      </c>
      <c r="K23" s="24">
        <f t="shared" si="0"/>
        <v>254.28999328613199</v>
      </c>
    </row>
    <row r="24" spans="2:18">
      <c r="B24" t="s">
        <v>30</v>
      </c>
      <c r="C24" s="19" t="s">
        <v>5</v>
      </c>
      <c r="D24" s="20">
        <v>44991</v>
      </c>
      <c r="E24" s="21">
        <v>256.42999267578102</v>
      </c>
      <c r="F24" s="21">
        <v>260.11999511718699</v>
      </c>
      <c r="G24" s="21">
        <v>255.97999572753901</v>
      </c>
      <c r="H24" s="21">
        <v>256.86999511718699</v>
      </c>
      <c r="I24" s="21">
        <v>256.86999511718699</v>
      </c>
      <c r="J24" s="21">
        <v>24109800</v>
      </c>
      <c r="K24" s="24">
        <f t="shared" si="0"/>
        <v>255.86999511718699</v>
      </c>
    </row>
    <row r="25" spans="2:18">
      <c r="B25" t="s">
        <v>30</v>
      </c>
      <c r="C25" s="19" t="s">
        <v>5</v>
      </c>
      <c r="D25" s="20">
        <v>44992</v>
      </c>
      <c r="E25" s="21">
        <v>256.29998779296801</v>
      </c>
      <c r="F25" s="21">
        <v>257.69000244140602</v>
      </c>
      <c r="G25" s="21">
        <v>253.38999938964801</v>
      </c>
      <c r="H25" s="21">
        <v>254.14999389648401</v>
      </c>
      <c r="I25" s="21">
        <v>254.14999389648401</v>
      </c>
      <c r="J25" s="21">
        <v>21473200</v>
      </c>
      <c r="K25" s="24">
        <f t="shared" si="0"/>
        <v>253.14999389648401</v>
      </c>
    </row>
    <row r="26" spans="2:18">
      <c r="B26" t="s">
        <v>30</v>
      </c>
      <c r="C26" s="19" t="s">
        <v>5</v>
      </c>
      <c r="D26" s="20">
        <v>44993</v>
      </c>
      <c r="E26" s="21">
        <v>254.03999328613199</v>
      </c>
      <c r="F26" s="21">
        <v>254.53999328613199</v>
      </c>
      <c r="G26" s="21">
        <v>250.80999755859301</v>
      </c>
      <c r="H26" s="21">
        <v>253.69999694824199</v>
      </c>
      <c r="I26" s="21">
        <v>253.69999694824199</v>
      </c>
      <c r="J26" s="21">
        <v>17340200</v>
      </c>
      <c r="K26" s="24">
        <f t="shared" si="0"/>
        <v>252.69999694824199</v>
      </c>
    </row>
    <row r="27" spans="2:18">
      <c r="B27" t="s">
        <v>30</v>
      </c>
      <c r="C27" s="19" t="s">
        <v>5</v>
      </c>
      <c r="D27" s="20">
        <v>44994</v>
      </c>
      <c r="E27" s="21">
        <v>255.82000732421801</v>
      </c>
      <c r="F27" s="21">
        <v>259.55999755859301</v>
      </c>
      <c r="G27" s="21">
        <v>251.58000183105401</v>
      </c>
      <c r="H27" s="21">
        <v>252.32000732421801</v>
      </c>
      <c r="I27" s="21">
        <v>252.32000732421801</v>
      </c>
      <c r="J27" s="21">
        <v>26653400</v>
      </c>
      <c r="K27" s="24">
        <f t="shared" si="0"/>
        <v>251.32000732421801</v>
      </c>
    </row>
    <row r="28" spans="2:18">
      <c r="B28" t="s">
        <v>30</v>
      </c>
      <c r="C28" s="19" t="s">
        <v>5</v>
      </c>
      <c r="D28" s="20">
        <v>44995</v>
      </c>
      <c r="E28" s="21">
        <v>251.08000183105401</v>
      </c>
      <c r="F28" s="21">
        <v>252.78999328613199</v>
      </c>
      <c r="G28" s="21">
        <v>247.600006103515</v>
      </c>
      <c r="H28" s="21">
        <v>248.58999633789</v>
      </c>
      <c r="I28" s="21">
        <v>248.58999633789</v>
      </c>
      <c r="J28" s="21">
        <v>28333900</v>
      </c>
      <c r="K28" s="24">
        <f t="shared" si="0"/>
        <v>247.58999633789</v>
      </c>
    </row>
    <row r="29" spans="2:18">
      <c r="B29" t="s">
        <v>30</v>
      </c>
      <c r="C29" s="19" t="s">
        <v>5</v>
      </c>
      <c r="D29" s="20">
        <v>44998</v>
      </c>
      <c r="E29" s="21">
        <v>247.39999389648401</v>
      </c>
      <c r="F29" s="21">
        <v>257.91000366210898</v>
      </c>
      <c r="G29" s="21">
        <v>245.72999572753901</v>
      </c>
      <c r="H29" s="21">
        <v>253.919998168945</v>
      </c>
      <c r="I29" s="21">
        <v>253.919998168945</v>
      </c>
      <c r="J29" s="21">
        <v>33339700</v>
      </c>
      <c r="K29" s="24">
        <f t="shared" si="0"/>
        <v>252.919998168945</v>
      </c>
    </row>
    <row r="30" spans="2:18">
      <c r="B30" t="s">
        <v>30</v>
      </c>
      <c r="C30" s="19" t="s">
        <v>5</v>
      </c>
      <c r="D30" s="20">
        <v>44999</v>
      </c>
      <c r="E30" s="21">
        <v>256.75</v>
      </c>
      <c r="F30" s="21">
        <v>261.07000732421801</v>
      </c>
      <c r="G30" s="21">
        <v>255.86000061035099</v>
      </c>
      <c r="H30" s="21">
        <v>260.79000854492102</v>
      </c>
      <c r="I30" s="21">
        <v>260.79000854492102</v>
      </c>
      <c r="J30" s="21">
        <v>33620300</v>
      </c>
      <c r="K30" s="24">
        <f t="shared" si="0"/>
        <v>259.79000854492102</v>
      </c>
    </row>
    <row r="31" spans="2:18">
      <c r="B31" t="s">
        <v>30</v>
      </c>
      <c r="C31" s="19" t="s">
        <v>5</v>
      </c>
      <c r="D31" s="20">
        <v>45000</v>
      </c>
      <c r="E31" s="21">
        <v>259.98001098632801</v>
      </c>
      <c r="F31" s="21">
        <v>266.48001098632801</v>
      </c>
      <c r="G31" s="21">
        <v>259.20999145507801</v>
      </c>
      <c r="H31" s="21">
        <v>265.44000244140602</v>
      </c>
      <c r="I31" s="21">
        <v>265.44000244140602</v>
      </c>
      <c r="J31" s="21">
        <v>46028000</v>
      </c>
      <c r="K31" s="24">
        <f t="shared" si="0"/>
        <v>264.44000244140602</v>
      </c>
    </row>
    <row r="32" spans="2:18">
      <c r="B32" t="s">
        <v>30</v>
      </c>
      <c r="C32" s="19" t="s">
        <v>5</v>
      </c>
      <c r="D32" s="20">
        <v>45001</v>
      </c>
      <c r="E32" s="21">
        <v>265.20999145507801</v>
      </c>
      <c r="F32" s="21">
        <v>276.55999755859301</v>
      </c>
      <c r="G32" s="21">
        <v>263.27999877929602</v>
      </c>
      <c r="H32" s="21">
        <v>276.20001220703102</v>
      </c>
      <c r="I32" s="21">
        <v>276.20001220703102</v>
      </c>
      <c r="J32" s="21">
        <v>54768800</v>
      </c>
      <c r="K32" s="24">
        <f t="shared" si="0"/>
        <v>275.20001220703102</v>
      </c>
    </row>
    <row r="33" spans="2:18">
      <c r="B33" t="s">
        <v>30</v>
      </c>
      <c r="C33" s="19" t="s">
        <v>5</v>
      </c>
      <c r="D33" s="20">
        <v>45002</v>
      </c>
      <c r="E33" s="21">
        <v>278.260009765625</v>
      </c>
      <c r="F33" s="21">
        <v>283.329986572265</v>
      </c>
      <c r="G33" s="21">
        <v>276.32000732421801</v>
      </c>
      <c r="H33" s="21">
        <v>279.42999267578102</v>
      </c>
      <c r="I33" s="21">
        <v>279.42999267578102</v>
      </c>
      <c r="J33" s="21">
        <v>69527400</v>
      </c>
      <c r="K33" s="24">
        <f t="shared" si="0"/>
        <v>278.42999267578102</v>
      </c>
    </row>
    <row r="34" spans="2:18">
      <c r="B34" t="s">
        <v>30</v>
      </c>
      <c r="C34" s="19" t="s">
        <v>5</v>
      </c>
      <c r="D34" s="20">
        <v>45005</v>
      </c>
      <c r="E34" s="21">
        <v>276.98001098632801</v>
      </c>
      <c r="F34" s="21">
        <v>277.48001098632801</v>
      </c>
      <c r="G34" s="21">
        <v>269.850006103515</v>
      </c>
      <c r="H34" s="21">
        <v>272.23001098632801</v>
      </c>
      <c r="I34" s="21">
        <v>272.23001098632801</v>
      </c>
      <c r="J34" s="21">
        <v>43466600</v>
      </c>
      <c r="K34" s="24">
        <f t="shared" si="0"/>
        <v>271.23001098632801</v>
      </c>
    </row>
    <row r="35" spans="2:18">
      <c r="B35" t="s">
        <v>30</v>
      </c>
      <c r="C35" s="19" t="s">
        <v>5</v>
      </c>
      <c r="D35" s="20">
        <v>45006</v>
      </c>
      <c r="E35" s="21">
        <v>274.88000488281199</v>
      </c>
      <c r="F35" s="21">
        <v>275</v>
      </c>
      <c r="G35" s="21">
        <v>269.51998901367102</v>
      </c>
      <c r="H35" s="21">
        <v>273.77999877929602</v>
      </c>
      <c r="I35" s="21">
        <v>273.77999877929602</v>
      </c>
      <c r="J35" s="21">
        <v>34558700</v>
      </c>
      <c r="K35" s="24">
        <f t="shared" si="0"/>
        <v>272.77999877929602</v>
      </c>
    </row>
    <row r="36" spans="2:18">
      <c r="B36" t="s">
        <v>30</v>
      </c>
      <c r="C36" s="19" t="s">
        <v>5</v>
      </c>
      <c r="D36" s="20">
        <v>45007</v>
      </c>
      <c r="E36" s="21">
        <v>273.39999389648398</v>
      </c>
      <c r="F36" s="21">
        <v>281.04000854492102</v>
      </c>
      <c r="G36" s="21">
        <v>272.17999267578102</v>
      </c>
      <c r="H36" s="21">
        <v>272.29000854492102</v>
      </c>
      <c r="I36" s="21">
        <v>272.29000854492102</v>
      </c>
      <c r="J36" s="21">
        <v>34873300</v>
      </c>
      <c r="K36" s="24">
        <f t="shared" si="0"/>
        <v>271.29000854492102</v>
      </c>
    </row>
    <row r="37" spans="2:18">
      <c r="B37" t="s">
        <v>30</v>
      </c>
      <c r="C37" s="19" t="s">
        <v>5</v>
      </c>
      <c r="D37" s="20">
        <v>45008</v>
      </c>
      <c r="E37" s="21">
        <v>277.94000244140602</v>
      </c>
      <c r="F37" s="21">
        <v>281.05999755859301</v>
      </c>
      <c r="G37" s="21">
        <v>275.20001220703102</v>
      </c>
      <c r="H37" s="21">
        <v>277.66000366210898</v>
      </c>
      <c r="I37" s="21">
        <v>277.66000366210898</v>
      </c>
      <c r="J37" s="21">
        <v>36610900</v>
      </c>
      <c r="K37" s="24">
        <f t="shared" si="0"/>
        <v>276.66000366210898</v>
      </c>
    </row>
    <row r="38" spans="2:18">
      <c r="B38" t="s">
        <v>30</v>
      </c>
      <c r="C38" s="19" t="s">
        <v>5</v>
      </c>
      <c r="D38" s="20">
        <v>45009</v>
      </c>
      <c r="E38" s="21">
        <v>277.239990234375</v>
      </c>
      <c r="F38" s="21">
        <v>280.63000488281199</v>
      </c>
      <c r="G38" s="21">
        <v>275.27999877929602</v>
      </c>
      <c r="H38" s="21">
        <v>280.57000732421801</v>
      </c>
      <c r="I38" s="21">
        <v>280.57000732421801</v>
      </c>
      <c r="J38" s="21">
        <v>28172000</v>
      </c>
      <c r="K38" s="24">
        <f t="shared" si="0"/>
        <v>279.57000732421801</v>
      </c>
    </row>
    <row r="39" spans="2:18">
      <c r="B39" t="s">
        <v>30</v>
      </c>
      <c r="C39" s="19" t="s">
        <v>5</v>
      </c>
      <c r="D39" s="20">
        <v>45012</v>
      </c>
      <c r="E39" s="21">
        <v>280.5</v>
      </c>
      <c r="F39" s="21">
        <v>281.45999145507801</v>
      </c>
      <c r="G39" s="21">
        <v>275.51998901367102</v>
      </c>
      <c r="H39" s="21">
        <v>276.38000488281199</v>
      </c>
      <c r="I39" s="21">
        <v>276.38000488281199</v>
      </c>
      <c r="J39" s="21">
        <v>26840200</v>
      </c>
      <c r="K39" s="24">
        <f t="shared" si="0"/>
        <v>275.38000488281199</v>
      </c>
    </row>
    <row r="40" spans="2:18">
      <c r="B40" t="s">
        <v>30</v>
      </c>
      <c r="C40" s="19" t="s">
        <v>5</v>
      </c>
      <c r="D40" s="20">
        <v>45013</v>
      </c>
      <c r="E40" s="21">
        <v>275.79000854492102</v>
      </c>
      <c r="F40" s="21">
        <v>276.14001464843699</v>
      </c>
      <c r="G40" s="21">
        <v>272.04998779296801</v>
      </c>
      <c r="H40" s="21">
        <v>275.23001098632801</v>
      </c>
      <c r="I40" s="21">
        <v>275.23001098632801</v>
      </c>
      <c r="J40" s="21">
        <v>21878600</v>
      </c>
      <c r="K40" s="24">
        <f t="shared" si="0"/>
        <v>274.23001098632801</v>
      </c>
    </row>
    <row r="41" spans="2:18">
      <c r="B41" t="s">
        <v>30</v>
      </c>
      <c r="C41" s="19" t="s">
        <v>5</v>
      </c>
      <c r="D41" s="20">
        <v>45014</v>
      </c>
      <c r="E41" s="21">
        <v>278.95999145507801</v>
      </c>
      <c r="F41" s="21">
        <v>281.14001464843699</v>
      </c>
      <c r="G41" s="21">
        <v>278.41000366210898</v>
      </c>
      <c r="H41" s="21">
        <v>280.510009765625</v>
      </c>
      <c r="I41" s="21">
        <v>280.510009765625</v>
      </c>
      <c r="J41" s="21">
        <v>25087000</v>
      </c>
      <c r="K41" s="24">
        <f t="shared" si="0"/>
        <v>279.510009765625</v>
      </c>
    </row>
    <row r="42" spans="2:18">
      <c r="B42" t="s">
        <v>30</v>
      </c>
      <c r="C42" s="19" t="s">
        <v>5</v>
      </c>
      <c r="D42" s="20">
        <v>45015</v>
      </c>
      <c r="E42" s="21">
        <v>284.23001098632801</v>
      </c>
      <c r="F42" s="21">
        <v>284.45999145507801</v>
      </c>
      <c r="G42" s="21">
        <v>281.48001098632801</v>
      </c>
      <c r="H42" s="21">
        <v>284.04998779296801</v>
      </c>
      <c r="I42" s="21">
        <v>284.04998779296801</v>
      </c>
      <c r="J42" s="21">
        <v>25053400</v>
      </c>
      <c r="K42" s="24">
        <f t="shared" si="0"/>
        <v>283.04998779296801</v>
      </c>
      <c r="N42" s="15" t="s">
        <v>42</v>
      </c>
      <c r="O42" s="15"/>
      <c r="P42" s="15"/>
      <c r="Q42" s="15"/>
      <c r="R42" s="15"/>
    </row>
    <row r="43" spans="2:18">
      <c r="B43" t="s">
        <v>30</v>
      </c>
      <c r="C43" s="19" t="s">
        <v>5</v>
      </c>
      <c r="D43" s="20">
        <v>45016</v>
      </c>
      <c r="E43" s="21">
        <v>283.73001098632801</v>
      </c>
      <c r="F43" s="21">
        <v>289.26998901367102</v>
      </c>
      <c r="G43" s="21">
        <v>283</v>
      </c>
      <c r="H43" s="21">
        <v>288.29998779296801</v>
      </c>
      <c r="I43" s="21">
        <v>288.29998779296801</v>
      </c>
      <c r="J43" s="21">
        <v>32766000</v>
      </c>
      <c r="K43" s="24">
        <f t="shared" si="0"/>
        <v>287.29998779296801</v>
      </c>
    </row>
    <row r="44" spans="2:18">
      <c r="B44" t="s">
        <v>30</v>
      </c>
      <c r="C44" s="19" t="s">
        <v>5</v>
      </c>
      <c r="D44" s="20">
        <v>45019</v>
      </c>
      <c r="E44" s="21">
        <v>286.51998901367102</v>
      </c>
      <c r="F44" s="21">
        <v>288.26998901367102</v>
      </c>
      <c r="G44" s="21">
        <v>283.95001220703102</v>
      </c>
      <c r="H44" s="21">
        <v>287.23001098632801</v>
      </c>
      <c r="I44" s="21">
        <v>287.23001098632801</v>
      </c>
      <c r="J44" s="21">
        <v>24883300</v>
      </c>
      <c r="K44" s="24">
        <f t="shared" si="0"/>
        <v>286.23001098632801</v>
      </c>
    </row>
    <row r="45" spans="2:18">
      <c r="B45" t="s">
        <v>30</v>
      </c>
      <c r="C45" s="19" t="s">
        <v>5</v>
      </c>
      <c r="D45" s="20">
        <v>45020</v>
      </c>
      <c r="E45" s="21">
        <v>287.23001098632801</v>
      </c>
      <c r="F45" s="21">
        <v>290.45001220703102</v>
      </c>
      <c r="G45" s="21">
        <v>285.67001342773398</v>
      </c>
      <c r="H45" s="21">
        <v>287.17999267578102</v>
      </c>
      <c r="I45" s="21">
        <v>287.17999267578102</v>
      </c>
      <c r="J45" s="21">
        <v>25824300</v>
      </c>
      <c r="K45" s="24">
        <f t="shared" si="0"/>
        <v>286.17999267578102</v>
      </c>
    </row>
    <row r="46" spans="2:18">
      <c r="B46" t="s">
        <v>30</v>
      </c>
      <c r="C46" s="19" t="s">
        <v>5</v>
      </c>
      <c r="D46" s="20">
        <v>45021</v>
      </c>
      <c r="E46" s="21">
        <v>285.850006103515</v>
      </c>
      <c r="F46" s="21">
        <v>287.14999389648398</v>
      </c>
      <c r="G46" s="21">
        <v>282.92001342773398</v>
      </c>
      <c r="H46" s="21">
        <v>284.33999633789</v>
      </c>
      <c r="I46" s="21">
        <v>284.33999633789</v>
      </c>
      <c r="J46" s="21">
        <v>22064800</v>
      </c>
      <c r="K46" s="24">
        <f t="shared" si="0"/>
        <v>283.33999633789</v>
      </c>
    </row>
    <row r="47" spans="2:18">
      <c r="B47" t="s">
        <v>30</v>
      </c>
      <c r="C47" s="19" t="s">
        <v>5</v>
      </c>
      <c r="D47" s="20">
        <v>45022</v>
      </c>
      <c r="E47" s="21">
        <v>283.20999145507801</v>
      </c>
      <c r="F47" s="21">
        <v>292.079986572265</v>
      </c>
      <c r="G47" s="21">
        <v>282.02999877929602</v>
      </c>
      <c r="H47" s="21">
        <v>291.600006103515</v>
      </c>
      <c r="I47" s="21">
        <v>291.600006103515</v>
      </c>
      <c r="J47" s="21">
        <v>29770300</v>
      </c>
      <c r="K47" s="24">
        <f t="shared" si="0"/>
        <v>290.600006103515</v>
      </c>
    </row>
    <row r="48" spans="2:18">
      <c r="B48" t="s">
        <v>30</v>
      </c>
      <c r="C48" s="19" t="s">
        <v>5</v>
      </c>
      <c r="D48" s="20">
        <v>45026</v>
      </c>
      <c r="E48" s="21">
        <v>289.20999145507801</v>
      </c>
      <c r="F48" s="21">
        <v>289.600006103515</v>
      </c>
      <c r="G48" s="21">
        <v>284.70999145507801</v>
      </c>
      <c r="H48" s="21">
        <v>289.39001464843699</v>
      </c>
      <c r="I48" s="21">
        <v>289.39001464843699</v>
      </c>
      <c r="J48" s="21">
        <v>23103000</v>
      </c>
      <c r="K48" s="24">
        <f t="shared" si="0"/>
        <v>288.39001464843699</v>
      </c>
    </row>
    <row r="49" spans="2:11">
      <c r="B49" t="s">
        <v>30</v>
      </c>
      <c r="C49" s="19" t="s">
        <v>5</v>
      </c>
      <c r="D49" s="20">
        <v>45027</v>
      </c>
      <c r="E49" s="21">
        <v>285.75</v>
      </c>
      <c r="F49" s="21">
        <v>285.98001098632801</v>
      </c>
      <c r="G49" s="21">
        <v>281.64001464843699</v>
      </c>
      <c r="H49" s="21">
        <v>282.829986572265</v>
      </c>
      <c r="I49" s="21">
        <v>282.829986572265</v>
      </c>
      <c r="J49" s="21">
        <v>27276600</v>
      </c>
      <c r="K49" s="24">
        <f t="shared" si="0"/>
        <v>281.829986572265</v>
      </c>
    </row>
    <row r="50" spans="2:11">
      <c r="B50" t="s">
        <v>30</v>
      </c>
      <c r="C50" s="19" t="s">
        <v>5</v>
      </c>
      <c r="D50" s="20">
        <v>45028</v>
      </c>
      <c r="E50" s="21">
        <v>284.79000854492102</v>
      </c>
      <c r="F50" s="21">
        <v>287.010009765625</v>
      </c>
      <c r="G50" s="21">
        <v>281.95999145507801</v>
      </c>
      <c r="H50" s="21">
        <v>283.489990234375</v>
      </c>
      <c r="I50" s="21">
        <v>283.489990234375</v>
      </c>
      <c r="J50" s="21">
        <v>27403400</v>
      </c>
      <c r="K50" s="24">
        <f t="shared" si="0"/>
        <v>282.489990234375</v>
      </c>
    </row>
    <row r="51" spans="2:11">
      <c r="B51" t="s">
        <v>30</v>
      </c>
      <c r="C51" s="19" t="s">
        <v>5</v>
      </c>
      <c r="D51" s="20">
        <v>45029</v>
      </c>
      <c r="E51" s="21">
        <v>283.58999633789</v>
      </c>
      <c r="F51" s="21">
        <v>289.89999389648398</v>
      </c>
      <c r="G51" s="21">
        <v>283.17001342773398</v>
      </c>
      <c r="H51" s="21">
        <v>289.83999633789</v>
      </c>
      <c r="I51" s="21">
        <v>289.83999633789</v>
      </c>
      <c r="J51" s="21">
        <v>24222700</v>
      </c>
      <c r="K51" s="24">
        <f t="shared" si="0"/>
        <v>288.83999633789</v>
      </c>
    </row>
    <row r="52" spans="2:11">
      <c r="B52" t="s">
        <v>30</v>
      </c>
      <c r="C52" s="19" t="s">
        <v>5</v>
      </c>
      <c r="D52" s="20">
        <v>45030</v>
      </c>
      <c r="E52" s="21">
        <v>287</v>
      </c>
      <c r="F52" s="21">
        <v>288.48001098632801</v>
      </c>
      <c r="G52" s="21">
        <v>283.69000244140602</v>
      </c>
      <c r="H52" s="21">
        <v>286.14001464843699</v>
      </c>
      <c r="I52" s="21">
        <v>286.14001464843699</v>
      </c>
      <c r="J52" s="21">
        <v>20987900</v>
      </c>
      <c r="K52" s="24">
        <f t="shared" si="0"/>
        <v>285.14001464843699</v>
      </c>
    </row>
    <row r="53" spans="2:11">
      <c r="B53" t="s">
        <v>30</v>
      </c>
      <c r="C53" s="19" t="s">
        <v>5</v>
      </c>
      <c r="D53" s="20">
        <v>45033</v>
      </c>
      <c r="E53" s="21">
        <v>289.92999267578102</v>
      </c>
      <c r="F53" s="21">
        <v>291.600006103515</v>
      </c>
      <c r="G53" s="21">
        <v>286.16000366210898</v>
      </c>
      <c r="H53" s="21">
        <v>288.79998779296801</v>
      </c>
      <c r="I53" s="21">
        <v>288.79998779296801</v>
      </c>
      <c r="J53" s="21">
        <v>23836200</v>
      </c>
      <c r="K53" s="24">
        <f t="shared" si="0"/>
        <v>287.79998779296801</v>
      </c>
    </row>
    <row r="54" spans="2:11">
      <c r="B54" t="s">
        <v>30</v>
      </c>
      <c r="C54" s="19" t="s">
        <v>5</v>
      </c>
      <c r="D54" s="20">
        <v>45034</v>
      </c>
      <c r="E54" s="21">
        <v>291.57000732421801</v>
      </c>
      <c r="F54" s="21">
        <v>291.760009765625</v>
      </c>
      <c r="G54" s="21">
        <v>287.010009765625</v>
      </c>
      <c r="H54" s="21">
        <v>288.36999511718699</v>
      </c>
      <c r="I54" s="21">
        <v>288.36999511718699</v>
      </c>
      <c r="J54" s="21">
        <v>20161800</v>
      </c>
      <c r="K54" s="24">
        <f t="shared" si="0"/>
        <v>287.36999511718699</v>
      </c>
    </row>
    <row r="55" spans="2:11">
      <c r="B55" t="s">
        <v>30</v>
      </c>
      <c r="C55" s="19" t="s">
        <v>5</v>
      </c>
      <c r="D55" s="20">
        <v>45035</v>
      </c>
      <c r="E55" s="21">
        <v>285.989990234375</v>
      </c>
      <c r="F55" s="21">
        <v>289.04998779296801</v>
      </c>
      <c r="G55" s="21">
        <v>284.54000854492102</v>
      </c>
      <c r="H55" s="21">
        <v>288.45001220703102</v>
      </c>
      <c r="I55" s="21">
        <v>288.45001220703102</v>
      </c>
      <c r="J55" s="21">
        <v>17150300</v>
      </c>
      <c r="K55" s="24">
        <f t="shared" si="0"/>
        <v>287.45001220703102</v>
      </c>
    </row>
    <row r="56" spans="2:11">
      <c r="B56" t="s">
        <v>30</v>
      </c>
      <c r="C56" s="19" t="s">
        <v>5</v>
      </c>
      <c r="D56" s="20">
        <v>45036</v>
      </c>
      <c r="E56" s="21">
        <v>285.25</v>
      </c>
      <c r="F56" s="21">
        <v>289.02999877929602</v>
      </c>
      <c r="G56" s="21">
        <v>285.079986572265</v>
      </c>
      <c r="H56" s="21">
        <v>286.10998535156199</v>
      </c>
      <c r="I56" s="21">
        <v>286.10998535156199</v>
      </c>
      <c r="J56" s="21">
        <v>23244400</v>
      </c>
      <c r="K56" s="24">
        <f t="shared" si="0"/>
        <v>285.10998535156199</v>
      </c>
    </row>
    <row r="57" spans="2:11">
      <c r="B57" t="s">
        <v>30</v>
      </c>
      <c r="C57" s="19" t="s">
        <v>5</v>
      </c>
      <c r="D57" s="20">
        <v>45037</v>
      </c>
      <c r="E57" s="21">
        <v>285.010009765625</v>
      </c>
      <c r="F57" s="21">
        <v>286.26998901367102</v>
      </c>
      <c r="G57" s="21">
        <v>283.05999755859301</v>
      </c>
      <c r="H57" s="21">
        <v>285.760009765625</v>
      </c>
      <c r="I57" s="21">
        <v>285.760009765625</v>
      </c>
      <c r="J57" s="21">
        <v>21676400</v>
      </c>
      <c r="K57" s="24">
        <f t="shared" si="0"/>
        <v>284.760009765625</v>
      </c>
    </row>
    <row r="58" spans="2:11">
      <c r="B58" t="s">
        <v>30</v>
      </c>
      <c r="C58" s="19" t="s">
        <v>5</v>
      </c>
      <c r="D58" s="20">
        <v>45040</v>
      </c>
      <c r="E58" s="21">
        <v>282.08999633789</v>
      </c>
      <c r="F58" s="21">
        <v>284.95001220703102</v>
      </c>
      <c r="G58" s="21">
        <v>278.72000122070301</v>
      </c>
      <c r="H58" s="21">
        <v>281.76998901367102</v>
      </c>
      <c r="I58" s="21">
        <v>281.76998901367102</v>
      </c>
      <c r="J58" s="21">
        <v>26611000</v>
      </c>
      <c r="K58" s="24">
        <f t="shared" si="0"/>
        <v>280.76998901367102</v>
      </c>
    </row>
    <row r="59" spans="2:11">
      <c r="B59" t="s">
        <v>30</v>
      </c>
      <c r="C59" s="19" t="s">
        <v>5</v>
      </c>
      <c r="D59" s="20">
        <v>45041</v>
      </c>
      <c r="E59" s="21">
        <v>279.510009765625</v>
      </c>
      <c r="F59" s="21">
        <v>281.600006103515</v>
      </c>
      <c r="G59" s="21">
        <v>275.36999511718699</v>
      </c>
      <c r="H59" s="21">
        <v>275.42001342773398</v>
      </c>
      <c r="I59" s="21">
        <v>275.42001342773398</v>
      </c>
      <c r="J59" s="21">
        <v>45772200</v>
      </c>
      <c r="K59" s="24">
        <f t="shared" si="0"/>
        <v>274.42001342773398</v>
      </c>
    </row>
    <row r="60" spans="2:11">
      <c r="B60" t="s">
        <v>30</v>
      </c>
      <c r="C60" s="19" t="s">
        <v>5</v>
      </c>
      <c r="D60" s="20">
        <v>45042</v>
      </c>
      <c r="E60" s="21">
        <v>296.70001220703102</v>
      </c>
      <c r="F60" s="21">
        <v>299.57000732421801</v>
      </c>
      <c r="G60" s="21">
        <v>292.73001098632801</v>
      </c>
      <c r="H60" s="21">
        <v>295.36999511718699</v>
      </c>
      <c r="I60" s="21">
        <v>295.36999511718699</v>
      </c>
      <c r="J60" s="21">
        <v>64599200</v>
      </c>
      <c r="K60" s="24">
        <f t="shared" si="0"/>
        <v>294.36999511718699</v>
      </c>
    </row>
    <row r="61" spans="2:11">
      <c r="B61" t="s">
        <v>30</v>
      </c>
      <c r="C61" s="19" t="s">
        <v>5</v>
      </c>
      <c r="D61" s="20">
        <v>45043</v>
      </c>
      <c r="E61" s="21">
        <v>295.97000122070301</v>
      </c>
      <c r="F61" s="21">
        <v>305.20001220703102</v>
      </c>
      <c r="G61" s="21">
        <v>295.25</v>
      </c>
      <c r="H61" s="21">
        <v>304.829986572265</v>
      </c>
      <c r="I61" s="21">
        <v>304.829986572265</v>
      </c>
      <c r="J61" s="21">
        <v>46462600</v>
      </c>
      <c r="K61" s="24">
        <f t="shared" si="0"/>
        <v>303.829986572265</v>
      </c>
    </row>
    <row r="62" spans="2:11">
      <c r="B62" t="s">
        <v>30</v>
      </c>
      <c r="C62" s="19" t="s">
        <v>5</v>
      </c>
      <c r="D62" s="20">
        <v>45044</v>
      </c>
      <c r="E62" s="21">
        <v>304.010009765625</v>
      </c>
      <c r="F62" s="21">
        <v>308.92999267578102</v>
      </c>
      <c r="G62" s="21">
        <v>303.30999755859301</v>
      </c>
      <c r="H62" s="21">
        <v>307.260009765625</v>
      </c>
      <c r="I62" s="21">
        <v>307.260009765625</v>
      </c>
      <c r="J62" s="21">
        <v>36446700</v>
      </c>
      <c r="K62" s="24">
        <f t="shared" si="0"/>
        <v>306.260009765625</v>
      </c>
    </row>
    <row r="63" spans="2:11">
      <c r="B63" t="s">
        <v>30</v>
      </c>
      <c r="C63" s="19" t="s">
        <v>5</v>
      </c>
      <c r="D63" s="20">
        <v>45047</v>
      </c>
      <c r="E63" s="21">
        <v>306.97000122070301</v>
      </c>
      <c r="F63" s="21">
        <v>308.600006103515</v>
      </c>
      <c r="G63" s="21">
        <v>305.14999389648398</v>
      </c>
      <c r="H63" s="21">
        <v>305.55999755859301</v>
      </c>
      <c r="I63" s="21">
        <v>305.55999755859301</v>
      </c>
      <c r="J63" s="21">
        <v>21294100</v>
      </c>
      <c r="K63" s="24">
        <f t="shared" si="0"/>
        <v>304.55999755859301</v>
      </c>
    </row>
    <row r="64" spans="2:11">
      <c r="B64" t="s">
        <v>30</v>
      </c>
      <c r="C64" s="19" t="s">
        <v>5</v>
      </c>
      <c r="D64" s="20">
        <v>45048</v>
      </c>
      <c r="E64" s="21">
        <v>307.760009765625</v>
      </c>
      <c r="F64" s="21">
        <v>309.17999267578102</v>
      </c>
      <c r="G64" s="21">
        <v>303.91000366210898</v>
      </c>
      <c r="H64" s="21">
        <v>305.41000366210898</v>
      </c>
      <c r="I64" s="21">
        <v>305.41000366210898</v>
      </c>
      <c r="J64" s="21">
        <v>26404400</v>
      </c>
      <c r="K64" s="24">
        <f t="shared" si="0"/>
        <v>304.41000366210898</v>
      </c>
    </row>
    <row r="65" spans="2:11">
      <c r="B65" t="s">
        <v>30</v>
      </c>
      <c r="C65" s="19" t="s">
        <v>5</v>
      </c>
      <c r="D65" s="20">
        <v>45049</v>
      </c>
      <c r="E65" s="21">
        <v>306.61999511718699</v>
      </c>
      <c r="F65" s="21">
        <v>308.60998535156199</v>
      </c>
      <c r="G65" s="21">
        <v>304.08999633789</v>
      </c>
      <c r="H65" s="21">
        <v>304.39999389648398</v>
      </c>
      <c r="I65" s="21">
        <v>304.39999389648398</v>
      </c>
      <c r="J65" s="21">
        <v>22360800</v>
      </c>
      <c r="K65" s="24">
        <f t="shared" si="0"/>
        <v>303.39999389648398</v>
      </c>
    </row>
    <row r="66" spans="2:11">
      <c r="B66" t="s">
        <v>30</v>
      </c>
      <c r="C66" s="19" t="s">
        <v>5</v>
      </c>
      <c r="D66" s="20">
        <v>45050</v>
      </c>
      <c r="E66" s="21">
        <v>306.239990234375</v>
      </c>
      <c r="F66" s="21">
        <v>307.760009765625</v>
      </c>
      <c r="G66" s="21">
        <v>303.39999389648398</v>
      </c>
      <c r="H66" s="21">
        <v>305.41000366210898</v>
      </c>
      <c r="I66" s="21">
        <v>305.41000366210898</v>
      </c>
      <c r="J66" s="21">
        <v>22519900</v>
      </c>
      <c r="K66" s="24">
        <f t="shared" si="0"/>
        <v>304.41000366210898</v>
      </c>
    </row>
    <row r="67" spans="2:11">
      <c r="B67" t="s">
        <v>30</v>
      </c>
      <c r="C67" s="19" t="s">
        <v>5</v>
      </c>
      <c r="D67" s="20">
        <v>45051</v>
      </c>
      <c r="E67" s="21">
        <v>305.72000122070301</v>
      </c>
      <c r="F67" s="21">
        <v>311.97000122070301</v>
      </c>
      <c r="G67" s="21">
        <v>304.26998901367102</v>
      </c>
      <c r="H67" s="21">
        <v>310.64999389648398</v>
      </c>
      <c r="I67" s="21">
        <v>310.64999389648398</v>
      </c>
      <c r="J67" s="21">
        <v>28181200</v>
      </c>
      <c r="K67" s="24">
        <f t="shared" si="0"/>
        <v>309.64999389648398</v>
      </c>
    </row>
  </sheetData>
  <mergeCells count="4">
    <mergeCell ref="E3:G3"/>
    <mergeCell ref="N22:R22"/>
    <mergeCell ref="N4:Q4"/>
    <mergeCell ref="N42:R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R67"/>
  <sheetViews>
    <sheetView showGridLines="0" workbookViewId="0">
      <selection activeCell="N6" sqref="N6"/>
    </sheetView>
  </sheetViews>
  <sheetFormatPr defaultRowHeight="15"/>
  <cols>
    <col min="1" max="1" width="3.28515625" customWidth="1"/>
    <col min="2" max="2" width="11.7109375" customWidth="1"/>
    <col min="4" max="4" width="12.85546875" customWidth="1"/>
    <col min="10" max="10" width="13.5703125" customWidth="1"/>
    <col min="11" max="11" width="11.85546875" customWidth="1"/>
  </cols>
  <sheetData>
    <row r="2" spans="2:18" ht="15.75" thickBot="1"/>
    <row r="3" spans="2:18" ht="15.75">
      <c r="B3" s="9"/>
      <c r="C3" s="40"/>
      <c r="D3" s="41"/>
      <c r="E3" s="43"/>
      <c r="F3" s="44" t="s">
        <v>31</v>
      </c>
      <c r="G3" s="44"/>
      <c r="H3" s="43"/>
      <c r="I3" s="43"/>
      <c r="J3" s="43"/>
      <c r="K3" s="43"/>
    </row>
    <row r="4" spans="2:18">
      <c r="B4" s="14" t="str">
        <f>'Apple Stock'!B8</f>
        <v>Comp Name</v>
      </c>
      <c r="C4" s="14" t="str">
        <f>'Apple Stock'!C8</f>
        <v>Ticker</v>
      </c>
      <c r="D4" s="14" t="str">
        <f>'Apple Stock'!D8</f>
        <v>Date</v>
      </c>
      <c r="E4" s="14" t="str">
        <f>'Apple Stock'!E8</f>
        <v>Open</v>
      </c>
      <c r="F4" s="14" t="str">
        <f>'Apple Stock'!F8</f>
        <v>High</v>
      </c>
      <c r="G4" s="14" t="str">
        <f>'Apple Stock'!G8</f>
        <v>Low</v>
      </c>
      <c r="H4" s="14" t="str">
        <f>'Apple Stock'!H8</f>
        <v>Close</v>
      </c>
      <c r="I4" s="14" t="str">
        <f>'Apple Stock'!I8</f>
        <v>Adj Close</v>
      </c>
      <c r="J4" s="14" t="str">
        <f>'Apple Stock'!J8</f>
        <v>Volume</v>
      </c>
      <c r="K4" s="14" t="str">
        <f>'Apple Stock'!K8</f>
        <v>Daily returns</v>
      </c>
    </row>
    <row r="5" spans="2:18">
      <c r="C5" s="19"/>
      <c r="D5" s="20"/>
      <c r="E5" s="21"/>
      <c r="F5" s="21"/>
      <c r="G5" s="21"/>
      <c r="H5" s="21"/>
      <c r="I5" s="21"/>
      <c r="J5" s="21"/>
      <c r="K5" s="21"/>
      <c r="N5" s="15" t="s">
        <v>32</v>
      </c>
      <c r="O5" s="15"/>
      <c r="P5" s="15"/>
      <c r="Q5" s="15"/>
      <c r="R5" s="15"/>
    </row>
    <row r="6" spans="2:18">
      <c r="B6" t="s">
        <v>33</v>
      </c>
      <c r="C6" s="19" t="s">
        <v>34</v>
      </c>
      <c r="D6" s="20">
        <v>44964</v>
      </c>
      <c r="E6" s="21">
        <v>358.510009765625</v>
      </c>
      <c r="F6" s="21">
        <v>364.17999267578102</v>
      </c>
      <c r="G6" s="21">
        <v>354.17999267578102</v>
      </c>
      <c r="H6" s="21">
        <v>362.95001220703102</v>
      </c>
      <c r="I6" s="21">
        <v>362.95001220703102</v>
      </c>
      <c r="J6" s="21">
        <v>6289400</v>
      </c>
      <c r="K6" s="21"/>
    </row>
    <row r="7" spans="2:18">
      <c r="B7" t="s">
        <v>33</v>
      </c>
      <c r="C7" s="19" t="s">
        <v>34</v>
      </c>
      <c r="D7" s="20">
        <v>44965</v>
      </c>
      <c r="E7" s="21">
        <v>360.01998901367102</v>
      </c>
      <c r="F7" s="21">
        <v>368.19000244140602</v>
      </c>
      <c r="G7" s="21">
        <v>358.30999755859301</v>
      </c>
      <c r="H7" s="21">
        <v>366.829986572265</v>
      </c>
      <c r="I7" s="21">
        <v>366.829986572265</v>
      </c>
      <c r="J7" s="21">
        <v>6253200</v>
      </c>
      <c r="K7" s="24">
        <f>I7-I6/I6</f>
        <v>365.829986572265</v>
      </c>
    </row>
    <row r="8" spans="2:18">
      <c r="B8" t="s">
        <v>33</v>
      </c>
      <c r="C8" s="19" t="s">
        <v>34</v>
      </c>
      <c r="D8" s="20">
        <v>44966</v>
      </c>
      <c r="E8" s="21">
        <v>372.41000366210898</v>
      </c>
      <c r="F8" s="21">
        <v>373.829986572265</v>
      </c>
      <c r="G8" s="21">
        <v>361.739990234375</v>
      </c>
      <c r="H8" s="21">
        <v>362.5</v>
      </c>
      <c r="I8" s="21">
        <v>362.5</v>
      </c>
      <c r="J8" s="21">
        <v>6901100</v>
      </c>
      <c r="K8" s="24">
        <f t="shared" ref="K8:K67" si="0">I8-I7/I7</f>
        <v>361.5</v>
      </c>
    </row>
    <row r="9" spans="2:18">
      <c r="B9" t="s">
        <v>33</v>
      </c>
      <c r="C9" s="19" t="s">
        <v>34</v>
      </c>
      <c r="D9" s="20">
        <v>44967</v>
      </c>
      <c r="E9" s="21">
        <v>359.16000366210898</v>
      </c>
      <c r="F9" s="21">
        <v>362.14001464843699</v>
      </c>
      <c r="G9" s="21">
        <v>347.14001464843699</v>
      </c>
      <c r="H9" s="21">
        <v>347.35998535156199</v>
      </c>
      <c r="I9" s="21">
        <v>347.35998535156199</v>
      </c>
      <c r="J9" s="21">
        <v>7291100</v>
      </c>
      <c r="K9" s="24">
        <f t="shared" si="0"/>
        <v>346.35998535156199</v>
      </c>
    </row>
    <row r="10" spans="2:18">
      <c r="B10" t="s">
        <v>33</v>
      </c>
      <c r="C10" s="19" t="s">
        <v>34</v>
      </c>
      <c r="D10" s="20">
        <v>44970</v>
      </c>
      <c r="E10" s="21">
        <v>349.5</v>
      </c>
      <c r="F10" s="21">
        <v>359.70001220703102</v>
      </c>
      <c r="G10" s="21">
        <v>344.25</v>
      </c>
      <c r="H10" s="21">
        <v>358.57000732421801</v>
      </c>
      <c r="I10" s="21">
        <v>358.57000732421801</v>
      </c>
      <c r="J10" s="21">
        <v>7134400</v>
      </c>
      <c r="K10" s="24">
        <f t="shared" si="0"/>
        <v>357.57000732421801</v>
      </c>
    </row>
    <row r="11" spans="2:18">
      <c r="B11" t="s">
        <v>33</v>
      </c>
      <c r="C11" s="19" t="s">
        <v>34</v>
      </c>
      <c r="D11" s="20">
        <v>44971</v>
      </c>
      <c r="E11" s="21">
        <v>357.54998779296801</v>
      </c>
      <c r="F11" s="21">
        <v>363.75</v>
      </c>
      <c r="G11" s="21">
        <v>353.39999389648398</v>
      </c>
      <c r="H11" s="21">
        <v>359.95999145507801</v>
      </c>
      <c r="I11" s="21">
        <v>359.95999145507801</v>
      </c>
      <c r="J11" s="21">
        <v>4624800</v>
      </c>
      <c r="K11" s="24">
        <f t="shared" si="0"/>
        <v>358.95999145507801</v>
      </c>
    </row>
    <row r="12" spans="2:18">
      <c r="B12" t="s">
        <v>33</v>
      </c>
      <c r="C12" s="19" t="s">
        <v>34</v>
      </c>
      <c r="D12" s="20">
        <v>44972</v>
      </c>
      <c r="E12" s="21">
        <v>356.63000488281199</v>
      </c>
      <c r="F12" s="21">
        <v>362.88000488281199</v>
      </c>
      <c r="G12" s="21">
        <v>354.239990234375</v>
      </c>
      <c r="H12" s="21">
        <v>361.42001342773398</v>
      </c>
      <c r="I12" s="21">
        <v>361.42001342773398</v>
      </c>
      <c r="J12" s="21">
        <v>3966000</v>
      </c>
      <c r="K12" s="24">
        <f t="shared" si="0"/>
        <v>360.42001342773398</v>
      </c>
    </row>
    <row r="13" spans="2:18">
      <c r="B13" t="s">
        <v>33</v>
      </c>
      <c r="C13" s="19" t="s">
        <v>34</v>
      </c>
      <c r="D13" s="20">
        <v>44973</v>
      </c>
      <c r="E13" s="21">
        <v>355</v>
      </c>
      <c r="F13" s="21">
        <v>361.5</v>
      </c>
      <c r="G13" s="21">
        <v>350.30999755859301</v>
      </c>
      <c r="H13" s="21">
        <v>350.70999145507801</v>
      </c>
      <c r="I13" s="21">
        <v>350.70999145507801</v>
      </c>
      <c r="J13" s="21">
        <v>5215700</v>
      </c>
      <c r="K13" s="24">
        <f t="shared" si="0"/>
        <v>349.70999145507801</v>
      </c>
    </row>
    <row r="14" spans="2:18">
      <c r="B14" t="s">
        <v>33</v>
      </c>
      <c r="C14" s="19" t="s">
        <v>34</v>
      </c>
      <c r="D14" s="20">
        <v>44974</v>
      </c>
      <c r="E14" s="21">
        <v>347.91000366210898</v>
      </c>
      <c r="F14" s="21">
        <v>349</v>
      </c>
      <c r="G14" s="21">
        <v>342.44000244140602</v>
      </c>
      <c r="H14" s="21">
        <v>347.95999145507801</v>
      </c>
      <c r="I14" s="21">
        <v>347.95999145507801</v>
      </c>
      <c r="J14" s="21">
        <v>5294700</v>
      </c>
      <c r="K14" s="24">
        <f t="shared" si="0"/>
        <v>346.95999145507801</v>
      </c>
    </row>
    <row r="15" spans="2:18">
      <c r="B15" t="s">
        <v>33</v>
      </c>
      <c r="C15" s="19" t="s">
        <v>34</v>
      </c>
      <c r="D15" s="20">
        <v>44978</v>
      </c>
      <c r="E15" s="21">
        <v>342.850006103515</v>
      </c>
      <c r="F15" s="21">
        <v>344.13000488281199</v>
      </c>
      <c r="G15" s="21">
        <v>336.42001342773398</v>
      </c>
      <c r="H15" s="21">
        <v>337.5</v>
      </c>
      <c r="I15" s="21">
        <v>337.5</v>
      </c>
      <c r="J15" s="21">
        <v>5710300</v>
      </c>
      <c r="K15" s="24">
        <f t="shared" si="0"/>
        <v>336.5</v>
      </c>
    </row>
    <row r="16" spans="2:18">
      <c r="B16" t="s">
        <v>33</v>
      </c>
      <c r="C16" s="19" t="s">
        <v>34</v>
      </c>
      <c r="D16" s="20">
        <v>44979</v>
      </c>
      <c r="E16" s="21">
        <v>337.5</v>
      </c>
      <c r="F16" s="21">
        <v>341.91000366210898</v>
      </c>
      <c r="G16" s="21">
        <v>332.82000732421801</v>
      </c>
      <c r="H16" s="21">
        <v>334.88000488281199</v>
      </c>
      <c r="I16" s="21">
        <v>334.88000488281199</v>
      </c>
      <c r="J16" s="21">
        <v>4546200</v>
      </c>
      <c r="K16" s="24">
        <f t="shared" si="0"/>
        <v>333.88000488281199</v>
      </c>
    </row>
    <row r="17" spans="2:18">
      <c r="B17" t="s">
        <v>33</v>
      </c>
      <c r="C17" s="19" t="s">
        <v>34</v>
      </c>
      <c r="D17" s="20">
        <v>44980</v>
      </c>
      <c r="E17" s="21">
        <v>331.23001098632801</v>
      </c>
      <c r="F17" s="21">
        <v>331.27999877929602</v>
      </c>
      <c r="G17" s="21">
        <v>314.29998779296801</v>
      </c>
      <c r="H17" s="21">
        <v>323.64999389648398</v>
      </c>
      <c r="I17" s="21">
        <v>323.64999389648398</v>
      </c>
      <c r="J17" s="21">
        <v>13238700</v>
      </c>
      <c r="K17" s="24">
        <f t="shared" si="0"/>
        <v>322.64999389648398</v>
      </c>
    </row>
    <row r="18" spans="2:18">
      <c r="B18" t="s">
        <v>33</v>
      </c>
      <c r="C18" s="19" t="s">
        <v>34</v>
      </c>
      <c r="D18" s="20">
        <v>44981</v>
      </c>
      <c r="E18" s="21">
        <v>319.29998779296801</v>
      </c>
      <c r="F18" s="21">
        <v>321.5</v>
      </c>
      <c r="G18" s="21">
        <v>314.51998901367102</v>
      </c>
      <c r="H18" s="21">
        <v>317.14999389648398</v>
      </c>
      <c r="I18" s="21">
        <v>317.14999389648398</v>
      </c>
      <c r="J18" s="21">
        <v>6830700</v>
      </c>
      <c r="K18" s="24">
        <f t="shared" si="0"/>
        <v>316.14999389648398</v>
      </c>
    </row>
    <row r="19" spans="2:18">
      <c r="B19" t="s">
        <v>33</v>
      </c>
      <c r="C19" s="19" t="s">
        <v>34</v>
      </c>
      <c r="D19" s="20">
        <v>44984</v>
      </c>
      <c r="E19" s="21">
        <v>323.86999511718699</v>
      </c>
      <c r="F19" s="21">
        <v>330</v>
      </c>
      <c r="G19" s="21">
        <v>322.11999511718699</v>
      </c>
      <c r="H19" s="21">
        <v>323.02999877929602</v>
      </c>
      <c r="I19" s="21">
        <v>323.02999877929602</v>
      </c>
      <c r="J19" s="21">
        <v>6142600</v>
      </c>
      <c r="K19" s="24">
        <f t="shared" si="0"/>
        <v>322.02999877929602</v>
      </c>
    </row>
    <row r="20" spans="2:18">
      <c r="B20" t="s">
        <v>33</v>
      </c>
      <c r="C20" s="19" t="s">
        <v>34</v>
      </c>
      <c r="D20" s="20">
        <v>44985</v>
      </c>
      <c r="E20" s="21">
        <v>323.70001220703102</v>
      </c>
      <c r="F20" s="21">
        <v>327.61999511718699</v>
      </c>
      <c r="G20" s="21">
        <v>321.17001342773398</v>
      </c>
      <c r="H20" s="21">
        <v>322.13000488281199</v>
      </c>
      <c r="I20" s="21">
        <v>322.13000488281199</v>
      </c>
      <c r="J20" s="21">
        <v>3676100</v>
      </c>
      <c r="K20" s="24">
        <f t="shared" si="0"/>
        <v>321.13000488281199</v>
      </c>
    </row>
    <row r="21" spans="2:18">
      <c r="B21" t="s">
        <v>33</v>
      </c>
      <c r="C21" s="19" t="s">
        <v>34</v>
      </c>
      <c r="D21" s="20">
        <v>44986</v>
      </c>
      <c r="E21" s="21">
        <v>321.54998779296801</v>
      </c>
      <c r="F21" s="21">
        <v>326.600006103515</v>
      </c>
      <c r="G21" s="21">
        <v>312.35998535156199</v>
      </c>
      <c r="H21" s="21">
        <v>313.48001098632801</v>
      </c>
      <c r="I21" s="21">
        <v>313.48001098632801</v>
      </c>
      <c r="J21" s="21">
        <v>4911300</v>
      </c>
      <c r="K21" s="24">
        <f t="shared" si="0"/>
        <v>312.48001098632801</v>
      </c>
    </row>
    <row r="22" spans="2:18">
      <c r="B22" t="s">
        <v>33</v>
      </c>
      <c r="C22" s="19" t="s">
        <v>34</v>
      </c>
      <c r="D22" s="20">
        <v>44987</v>
      </c>
      <c r="E22" s="21">
        <v>310.95999145507801</v>
      </c>
      <c r="F22" s="21">
        <v>315.57000732421801</v>
      </c>
      <c r="G22" s="21">
        <v>310.38000488281199</v>
      </c>
      <c r="H22" s="21">
        <v>311.88000488281199</v>
      </c>
      <c r="I22" s="21">
        <v>311.88000488281199</v>
      </c>
      <c r="J22" s="21">
        <v>4911000</v>
      </c>
      <c r="K22" s="24">
        <f t="shared" si="0"/>
        <v>310.88000488281199</v>
      </c>
      <c r="N22" s="59"/>
      <c r="O22" s="59"/>
      <c r="P22" s="59"/>
      <c r="Q22" s="59"/>
      <c r="R22" s="59"/>
    </row>
    <row r="23" spans="2:18">
      <c r="B23" t="s">
        <v>33</v>
      </c>
      <c r="C23" s="19" t="s">
        <v>34</v>
      </c>
      <c r="D23" s="20">
        <v>44988</v>
      </c>
      <c r="E23" s="21">
        <v>315.45001220703102</v>
      </c>
      <c r="F23" s="21">
        <v>317.489990234375</v>
      </c>
      <c r="G23" s="21">
        <v>310.82000732421801</v>
      </c>
      <c r="H23" s="21">
        <v>315.17999267578102</v>
      </c>
      <c r="I23" s="21">
        <v>315.17999267578102</v>
      </c>
      <c r="J23" s="21">
        <v>5953300</v>
      </c>
      <c r="K23" s="24">
        <f t="shared" si="0"/>
        <v>314.17999267578102</v>
      </c>
    </row>
    <row r="24" spans="2:18">
      <c r="B24" t="s">
        <v>33</v>
      </c>
      <c r="C24" s="19" t="s">
        <v>34</v>
      </c>
      <c r="D24" s="20">
        <v>44991</v>
      </c>
      <c r="E24" s="21">
        <v>317</v>
      </c>
      <c r="F24" s="21">
        <v>323.29998779296801</v>
      </c>
      <c r="G24" s="21">
        <v>311.83999633789</v>
      </c>
      <c r="H24" s="21">
        <v>312.02999877929602</v>
      </c>
      <c r="I24" s="21">
        <v>312.02999877929602</v>
      </c>
      <c r="J24" s="21">
        <v>5660700</v>
      </c>
      <c r="K24" s="24">
        <f t="shared" si="0"/>
        <v>311.02999877929602</v>
      </c>
      <c r="N24" s="15" t="s">
        <v>40</v>
      </c>
      <c r="O24" s="15"/>
      <c r="P24" s="15"/>
      <c r="Q24" s="15"/>
      <c r="R24" s="15"/>
    </row>
    <row r="25" spans="2:18">
      <c r="B25" t="s">
        <v>33</v>
      </c>
      <c r="C25" s="19" t="s">
        <v>34</v>
      </c>
      <c r="D25" s="20">
        <v>44992</v>
      </c>
      <c r="E25" s="21">
        <v>312.67999267578102</v>
      </c>
      <c r="F25" s="21">
        <v>314.29998779296801</v>
      </c>
      <c r="G25" s="21">
        <v>306.61999511718699</v>
      </c>
      <c r="H25" s="21">
        <v>308.47000122070301</v>
      </c>
      <c r="I25" s="21">
        <v>308.47000122070301</v>
      </c>
      <c r="J25" s="21">
        <v>4553100</v>
      </c>
      <c r="K25" s="24">
        <f t="shared" si="0"/>
        <v>307.47000122070301</v>
      </c>
    </row>
    <row r="26" spans="2:18">
      <c r="B26" t="s">
        <v>33</v>
      </c>
      <c r="C26" s="19" t="s">
        <v>34</v>
      </c>
      <c r="D26" s="20">
        <v>44993</v>
      </c>
      <c r="E26" s="21">
        <v>309.29000854492102</v>
      </c>
      <c r="F26" s="21">
        <v>311.829986572265</v>
      </c>
      <c r="G26" s="21">
        <v>305.75</v>
      </c>
      <c r="H26" s="21">
        <v>311.79000854492102</v>
      </c>
      <c r="I26" s="21">
        <v>311.79000854492102</v>
      </c>
      <c r="J26" s="21">
        <v>3479500</v>
      </c>
      <c r="K26" s="24">
        <f t="shared" si="0"/>
        <v>310.79000854492102</v>
      </c>
    </row>
    <row r="27" spans="2:18">
      <c r="B27" t="s">
        <v>33</v>
      </c>
      <c r="C27" s="19" t="s">
        <v>34</v>
      </c>
      <c r="D27" s="20">
        <v>44994</v>
      </c>
      <c r="E27" s="21">
        <v>312.079986572265</v>
      </c>
      <c r="F27" s="21">
        <v>312.510009765625</v>
      </c>
      <c r="G27" s="21">
        <v>294.88000488281199</v>
      </c>
      <c r="H27" s="21">
        <v>297.77999877929602</v>
      </c>
      <c r="I27" s="21">
        <v>297.77999877929602</v>
      </c>
      <c r="J27" s="21">
        <v>7443400</v>
      </c>
      <c r="K27" s="24">
        <f t="shared" si="0"/>
        <v>296.77999877929602</v>
      </c>
    </row>
    <row r="28" spans="2:18">
      <c r="B28" t="s">
        <v>33</v>
      </c>
      <c r="C28" s="19" t="s">
        <v>34</v>
      </c>
      <c r="D28" s="20">
        <v>44995</v>
      </c>
      <c r="E28" s="21">
        <v>297.89999389648398</v>
      </c>
      <c r="F28" s="21">
        <v>298.79000854492102</v>
      </c>
      <c r="G28" s="21">
        <v>289</v>
      </c>
      <c r="H28" s="21">
        <v>292.760009765625</v>
      </c>
      <c r="I28" s="21">
        <v>292.760009765625</v>
      </c>
      <c r="J28" s="21">
        <v>5759300</v>
      </c>
      <c r="K28" s="24">
        <f t="shared" si="0"/>
        <v>291.760009765625</v>
      </c>
    </row>
    <row r="29" spans="2:18">
      <c r="B29" t="s">
        <v>33</v>
      </c>
      <c r="C29" s="19" t="s">
        <v>34</v>
      </c>
      <c r="D29" s="20">
        <v>44998</v>
      </c>
      <c r="E29" s="21">
        <v>287.33999633789</v>
      </c>
      <c r="F29" s="21">
        <v>299.239990234375</v>
      </c>
      <c r="G29" s="21">
        <v>285.329986572265</v>
      </c>
      <c r="H29" s="21">
        <v>293.510009765625</v>
      </c>
      <c r="I29" s="21">
        <v>293.510009765625</v>
      </c>
      <c r="J29" s="21">
        <v>6292400</v>
      </c>
      <c r="K29" s="24">
        <f t="shared" si="0"/>
        <v>292.510009765625</v>
      </c>
    </row>
    <row r="30" spans="2:18">
      <c r="B30" t="s">
        <v>33</v>
      </c>
      <c r="C30" s="19" t="s">
        <v>34</v>
      </c>
      <c r="D30" s="20">
        <v>44999</v>
      </c>
      <c r="E30" s="21">
        <v>295.97000122070301</v>
      </c>
      <c r="F30" s="21">
        <v>297.45001220703102</v>
      </c>
      <c r="G30" s="21">
        <v>290.30999755859301</v>
      </c>
      <c r="H30" s="21">
        <v>294.94000244140602</v>
      </c>
      <c r="I30" s="21">
        <v>294.94000244140602</v>
      </c>
      <c r="J30" s="21">
        <v>5956700</v>
      </c>
      <c r="K30" s="24">
        <f t="shared" si="0"/>
        <v>293.94000244140602</v>
      </c>
    </row>
    <row r="31" spans="2:18">
      <c r="B31" t="s">
        <v>33</v>
      </c>
      <c r="C31" s="19" t="s">
        <v>34</v>
      </c>
      <c r="D31" s="20">
        <v>45000</v>
      </c>
      <c r="E31" s="21">
        <v>292.510009765625</v>
      </c>
      <c r="F31" s="21">
        <v>306.30999755859301</v>
      </c>
      <c r="G31" s="21">
        <v>292.27999877929602</v>
      </c>
      <c r="H31" s="21">
        <v>303.79000854492102</v>
      </c>
      <c r="I31" s="21">
        <v>303.79000854492102</v>
      </c>
      <c r="J31" s="21">
        <v>9215300</v>
      </c>
      <c r="K31" s="24">
        <f t="shared" si="0"/>
        <v>302.79000854492102</v>
      </c>
    </row>
    <row r="32" spans="2:18">
      <c r="B32" t="s">
        <v>33</v>
      </c>
      <c r="C32" s="19" t="s">
        <v>34</v>
      </c>
      <c r="D32" s="20">
        <v>45001</v>
      </c>
      <c r="E32" s="21">
        <v>304.75</v>
      </c>
      <c r="F32" s="21">
        <v>316.600006103515</v>
      </c>
      <c r="G32" s="21">
        <v>301.70999145507801</v>
      </c>
      <c r="H32" s="21">
        <v>310.05999755859301</v>
      </c>
      <c r="I32" s="21">
        <v>310.05999755859301</v>
      </c>
      <c r="J32" s="21">
        <v>7903700</v>
      </c>
      <c r="K32" s="24">
        <f t="shared" si="0"/>
        <v>309.05999755859301</v>
      </c>
    </row>
    <row r="33" spans="2:18">
      <c r="B33" t="s">
        <v>33</v>
      </c>
      <c r="C33" s="19" t="s">
        <v>34</v>
      </c>
      <c r="D33" s="20">
        <v>45002</v>
      </c>
      <c r="E33" s="21">
        <v>310.05999755859301</v>
      </c>
      <c r="F33" s="21">
        <v>310.760009765625</v>
      </c>
      <c r="G33" s="21">
        <v>300</v>
      </c>
      <c r="H33" s="21">
        <v>303.5</v>
      </c>
      <c r="I33" s="21">
        <v>303.5</v>
      </c>
      <c r="J33" s="21">
        <v>6918800</v>
      </c>
      <c r="K33" s="24">
        <f t="shared" si="0"/>
        <v>302.5</v>
      </c>
    </row>
    <row r="34" spans="2:18">
      <c r="B34" t="s">
        <v>33</v>
      </c>
      <c r="C34" s="19" t="s">
        <v>34</v>
      </c>
      <c r="D34" s="20">
        <v>45005</v>
      </c>
      <c r="E34" s="21">
        <v>299.79000854492102</v>
      </c>
      <c r="F34" s="21">
        <v>307.5</v>
      </c>
      <c r="G34" s="21">
        <v>296</v>
      </c>
      <c r="H34" s="21">
        <v>305.13000488281199</v>
      </c>
      <c r="I34" s="21">
        <v>305.13000488281199</v>
      </c>
      <c r="J34" s="21">
        <v>5113400</v>
      </c>
      <c r="K34" s="24">
        <f t="shared" si="0"/>
        <v>304.13000488281199</v>
      </c>
    </row>
    <row r="35" spans="2:18">
      <c r="B35" t="s">
        <v>33</v>
      </c>
      <c r="C35" s="19" t="s">
        <v>34</v>
      </c>
      <c r="D35" s="20">
        <v>45006</v>
      </c>
      <c r="E35" s="21">
        <v>306.32000732421801</v>
      </c>
      <c r="F35" s="21">
        <v>307.92001342773398</v>
      </c>
      <c r="G35" s="21">
        <v>300.42999267578102</v>
      </c>
      <c r="H35" s="21">
        <v>305.79000854492102</v>
      </c>
      <c r="I35" s="21">
        <v>305.79000854492102</v>
      </c>
      <c r="J35" s="21">
        <v>4886300</v>
      </c>
      <c r="K35" s="24">
        <f t="shared" si="0"/>
        <v>304.79000854492102</v>
      </c>
    </row>
    <row r="36" spans="2:18">
      <c r="B36" t="s">
        <v>33</v>
      </c>
      <c r="C36" s="19" t="s">
        <v>34</v>
      </c>
      <c r="D36" s="20">
        <v>45007</v>
      </c>
      <c r="E36" s="21">
        <v>306.30999755859301</v>
      </c>
      <c r="F36" s="21">
        <v>306.45001220703102</v>
      </c>
      <c r="G36" s="21">
        <v>293.54000854492102</v>
      </c>
      <c r="H36" s="21">
        <v>293.89999389648398</v>
      </c>
      <c r="I36" s="21">
        <v>293.89999389648398</v>
      </c>
      <c r="J36" s="21">
        <v>5808000</v>
      </c>
      <c r="K36" s="24">
        <f t="shared" si="0"/>
        <v>292.89999389648398</v>
      </c>
    </row>
    <row r="37" spans="2:18">
      <c r="B37" t="s">
        <v>33</v>
      </c>
      <c r="C37" s="19" t="s">
        <v>34</v>
      </c>
      <c r="D37" s="20">
        <v>45008</v>
      </c>
      <c r="E37" s="21">
        <v>304.67999267578102</v>
      </c>
      <c r="F37" s="21">
        <v>322.77999877929602</v>
      </c>
      <c r="G37" s="21">
        <v>304.14001464843699</v>
      </c>
      <c r="H37" s="21">
        <v>320.36999511718699</v>
      </c>
      <c r="I37" s="21">
        <v>320.36999511718699</v>
      </c>
      <c r="J37" s="21">
        <v>15653300</v>
      </c>
      <c r="K37" s="24">
        <f t="shared" si="0"/>
        <v>319.36999511718699</v>
      </c>
    </row>
    <row r="38" spans="2:18">
      <c r="B38" t="s">
        <v>33</v>
      </c>
      <c r="C38" s="19" t="s">
        <v>34</v>
      </c>
      <c r="D38" s="20">
        <v>45009</v>
      </c>
      <c r="E38" s="21">
        <v>320.63000488281199</v>
      </c>
      <c r="F38" s="21">
        <v>331.829986572265</v>
      </c>
      <c r="G38" s="21">
        <v>320.63000488281199</v>
      </c>
      <c r="H38" s="21">
        <v>328.39001464843699</v>
      </c>
      <c r="I38" s="21">
        <v>328.39001464843699</v>
      </c>
      <c r="J38" s="21">
        <v>12991700</v>
      </c>
      <c r="K38" s="24">
        <f t="shared" si="0"/>
        <v>327.39001464843699</v>
      </c>
    </row>
    <row r="39" spans="2:18">
      <c r="B39" t="s">
        <v>33</v>
      </c>
      <c r="C39" s="19" t="s">
        <v>34</v>
      </c>
      <c r="D39" s="20">
        <v>45012</v>
      </c>
      <c r="E39" s="21">
        <v>327.54998779296801</v>
      </c>
      <c r="F39" s="21">
        <v>336.44000244140602</v>
      </c>
      <c r="G39" s="21">
        <v>324.41000366210898</v>
      </c>
      <c r="H39" s="21">
        <v>327.66000366210898</v>
      </c>
      <c r="I39" s="21">
        <v>327.66000366210898</v>
      </c>
      <c r="J39" s="21">
        <v>8625800</v>
      </c>
      <c r="K39" s="24">
        <f t="shared" si="0"/>
        <v>326.66000366210898</v>
      </c>
    </row>
    <row r="40" spans="2:18">
      <c r="B40" t="s">
        <v>33</v>
      </c>
      <c r="C40" s="19" t="s">
        <v>34</v>
      </c>
      <c r="D40" s="20">
        <v>45013</v>
      </c>
      <c r="E40" s="21">
        <v>326.05999755859301</v>
      </c>
      <c r="F40" s="21">
        <v>333.32000732421801</v>
      </c>
      <c r="G40" s="21">
        <v>321.27999877929602</v>
      </c>
      <c r="H40" s="21">
        <v>323.51998901367102</v>
      </c>
      <c r="I40" s="21">
        <v>323.51998901367102</v>
      </c>
      <c r="J40" s="21">
        <v>6489400</v>
      </c>
      <c r="K40" s="24">
        <f t="shared" si="0"/>
        <v>322.51998901367102</v>
      </c>
    </row>
    <row r="41" spans="2:18">
      <c r="B41" t="s">
        <v>33</v>
      </c>
      <c r="C41" s="19" t="s">
        <v>34</v>
      </c>
      <c r="D41" s="20">
        <v>45014</v>
      </c>
      <c r="E41" s="21">
        <v>326.29000854492102</v>
      </c>
      <c r="F41" s="21">
        <v>332.850006103515</v>
      </c>
      <c r="G41" s="21">
        <v>325.73001098632801</v>
      </c>
      <c r="H41" s="21">
        <v>332.02999877929602</v>
      </c>
      <c r="I41" s="21">
        <v>332.02999877929602</v>
      </c>
      <c r="J41" s="21">
        <v>6287300</v>
      </c>
      <c r="K41" s="24">
        <f t="shared" si="0"/>
        <v>331.02999877929602</v>
      </c>
    </row>
    <row r="42" spans="2:18">
      <c r="B42" t="s">
        <v>33</v>
      </c>
      <c r="C42" s="19" t="s">
        <v>34</v>
      </c>
      <c r="D42" s="20">
        <v>45015</v>
      </c>
      <c r="E42" s="21">
        <v>340.26998901367102</v>
      </c>
      <c r="F42" s="21">
        <v>343.29000854492102</v>
      </c>
      <c r="G42" s="21">
        <v>335.29998779296801</v>
      </c>
      <c r="H42" s="21">
        <v>338.42999267578102</v>
      </c>
      <c r="I42" s="21">
        <v>338.42999267578102</v>
      </c>
      <c r="J42" s="21">
        <v>7131500</v>
      </c>
      <c r="K42" s="24">
        <f t="shared" si="0"/>
        <v>337.42999267578102</v>
      </c>
      <c r="N42" s="15" t="s">
        <v>35</v>
      </c>
      <c r="O42" s="15"/>
      <c r="P42" s="15"/>
      <c r="Q42" s="15"/>
      <c r="R42" s="15"/>
    </row>
    <row r="43" spans="2:18">
      <c r="B43" t="s">
        <v>33</v>
      </c>
      <c r="C43" s="19" t="s">
        <v>34</v>
      </c>
      <c r="D43" s="20">
        <v>45016</v>
      </c>
      <c r="E43" s="21">
        <v>340.04998779296801</v>
      </c>
      <c r="F43" s="21">
        <v>345.83999633789</v>
      </c>
      <c r="G43" s="21">
        <v>337.20001220703102</v>
      </c>
      <c r="H43" s="21">
        <v>345.48001098632801</v>
      </c>
      <c r="I43" s="21">
        <v>345.48001098632801</v>
      </c>
      <c r="J43" s="21">
        <v>5610200</v>
      </c>
      <c r="K43" s="24">
        <f t="shared" si="0"/>
        <v>344.48001098632801</v>
      </c>
    </row>
    <row r="44" spans="2:18">
      <c r="B44" t="s">
        <v>33</v>
      </c>
      <c r="C44" s="19" t="s">
        <v>34</v>
      </c>
      <c r="D44" s="20">
        <v>45019</v>
      </c>
      <c r="E44" s="21">
        <v>341.829986572265</v>
      </c>
      <c r="F44" s="21">
        <v>348.579986572265</v>
      </c>
      <c r="G44" s="21">
        <v>340.39999389648398</v>
      </c>
      <c r="H44" s="21">
        <v>348.27999877929602</v>
      </c>
      <c r="I44" s="21">
        <v>348.27999877929602</v>
      </c>
      <c r="J44" s="21">
        <v>4413700</v>
      </c>
      <c r="K44" s="24">
        <f t="shared" si="0"/>
        <v>347.27999877929602</v>
      </c>
    </row>
    <row r="45" spans="2:18">
      <c r="B45" t="s">
        <v>33</v>
      </c>
      <c r="C45" s="19" t="s">
        <v>34</v>
      </c>
      <c r="D45" s="20">
        <v>45020</v>
      </c>
      <c r="E45" s="21">
        <v>348.489990234375</v>
      </c>
      <c r="F45" s="21">
        <v>349.79998779296801</v>
      </c>
      <c r="G45" s="21">
        <v>343.95001220703102</v>
      </c>
      <c r="H45" s="21">
        <v>346.75</v>
      </c>
      <c r="I45" s="21">
        <v>346.75</v>
      </c>
      <c r="J45" s="21">
        <v>3298100</v>
      </c>
      <c r="K45" s="24">
        <f t="shared" si="0"/>
        <v>345.75</v>
      </c>
    </row>
    <row r="46" spans="2:18">
      <c r="B46" t="s">
        <v>33</v>
      </c>
      <c r="C46" s="19" t="s">
        <v>34</v>
      </c>
      <c r="D46" s="20">
        <v>45021</v>
      </c>
      <c r="E46" s="21">
        <v>345.29998779296801</v>
      </c>
      <c r="F46" s="21">
        <v>345.42999267578102</v>
      </c>
      <c r="G46" s="21">
        <v>336.25</v>
      </c>
      <c r="H46" s="21">
        <v>342.350006103515</v>
      </c>
      <c r="I46" s="21">
        <v>342.350006103515</v>
      </c>
      <c r="J46" s="21">
        <v>4205500</v>
      </c>
      <c r="K46" s="24">
        <f t="shared" si="0"/>
        <v>341.350006103515</v>
      </c>
    </row>
    <row r="47" spans="2:18">
      <c r="B47" t="s">
        <v>33</v>
      </c>
      <c r="C47" s="19" t="s">
        <v>34</v>
      </c>
      <c r="D47" s="20">
        <v>45022</v>
      </c>
      <c r="E47" s="21">
        <v>339.33999633789</v>
      </c>
      <c r="F47" s="21">
        <v>340.48001098632801</v>
      </c>
      <c r="G47" s="21">
        <v>332.63000488281199</v>
      </c>
      <c r="H47" s="21">
        <v>339.329986572265</v>
      </c>
      <c r="I47" s="21">
        <v>339.329986572265</v>
      </c>
      <c r="J47" s="21">
        <v>4660500</v>
      </c>
      <c r="K47" s="24">
        <f t="shared" si="0"/>
        <v>338.329986572265</v>
      </c>
    </row>
    <row r="48" spans="2:18">
      <c r="B48" t="s">
        <v>33</v>
      </c>
      <c r="C48" s="19" t="s">
        <v>34</v>
      </c>
      <c r="D48" s="20">
        <v>45026</v>
      </c>
      <c r="E48" s="21">
        <v>335.26998901367102</v>
      </c>
      <c r="F48" s="21">
        <v>339.88000488281199</v>
      </c>
      <c r="G48" s="21">
        <v>333.35998535156199</v>
      </c>
      <c r="H48" s="21">
        <v>338.989990234375</v>
      </c>
      <c r="I48" s="21">
        <v>338.989990234375</v>
      </c>
      <c r="J48" s="21">
        <v>2657900</v>
      </c>
      <c r="K48" s="24">
        <f t="shared" si="0"/>
        <v>337.989990234375</v>
      </c>
    </row>
    <row r="49" spans="2:11">
      <c r="B49" t="s">
        <v>33</v>
      </c>
      <c r="C49" s="19" t="s">
        <v>34</v>
      </c>
      <c r="D49" s="20">
        <v>45027</v>
      </c>
      <c r="E49" s="21">
        <v>343.45001220703102</v>
      </c>
      <c r="F49" s="21">
        <v>347.14001464843699</v>
      </c>
      <c r="G49" s="21">
        <v>337.64001464843699</v>
      </c>
      <c r="H49" s="21">
        <v>338.20999145507801</v>
      </c>
      <c r="I49" s="21">
        <v>338.20999145507801</v>
      </c>
      <c r="J49" s="21">
        <v>4044800</v>
      </c>
      <c r="K49" s="24">
        <f t="shared" si="0"/>
        <v>337.20999145507801</v>
      </c>
    </row>
    <row r="50" spans="2:11">
      <c r="B50" t="s">
        <v>33</v>
      </c>
      <c r="C50" s="19" t="s">
        <v>34</v>
      </c>
      <c r="D50" s="20">
        <v>45028</v>
      </c>
      <c r="E50" s="21">
        <v>340.80999755859301</v>
      </c>
      <c r="F50" s="21">
        <v>342.79998779296801</v>
      </c>
      <c r="G50" s="21">
        <v>330.04000854492102</v>
      </c>
      <c r="H50" s="21">
        <v>331.02999877929602</v>
      </c>
      <c r="I50" s="21">
        <v>331.02999877929602</v>
      </c>
      <c r="J50" s="21">
        <v>3965400</v>
      </c>
      <c r="K50" s="24">
        <f t="shared" si="0"/>
        <v>330.02999877929602</v>
      </c>
    </row>
    <row r="51" spans="2:11">
      <c r="B51" t="s">
        <v>33</v>
      </c>
      <c r="C51" s="19" t="s">
        <v>34</v>
      </c>
      <c r="D51" s="20">
        <v>45029</v>
      </c>
      <c r="E51" s="21">
        <v>339.989990234375</v>
      </c>
      <c r="F51" s="21">
        <v>346.42999267578102</v>
      </c>
      <c r="G51" s="21">
        <v>338.75</v>
      </c>
      <c r="H51" s="21">
        <v>346.19000244140602</v>
      </c>
      <c r="I51" s="21">
        <v>346.19000244140602</v>
      </c>
      <c r="J51" s="21">
        <v>7406400</v>
      </c>
      <c r="K51" s="24">
        <f t="shared" si="0"/>
        <v>345.19000244140602</v>
      </c>
    </row>
    <row r="52" spans="2:11">
      <c r="B52" t="s">
        <v>33</v>
      </c>
      <c r="C52" s="19" t="s">
        <v>34</v>
      </c>
      <c r="D52" s="20">
        <v>45030</v>
      </c>
      <c r="E52" s="21">
        <v>342.94000244140602</v>
      </c>
      <c r="F52" s="21">
        <v>344.850006103515</v>
      </c>
      <c r="G52" s="21">
        <v>336.41000366210898</v>
      </c>
      <c r="H52" s="21">
        <v>338.63000488281199</v>
      </c>
      <c r="I52" s="21">
        <v>338.63000488281199</v>
      </c>
      <c r="J52" s="21">
        <v>5350500</v>
      </c>
      <c r="K52" s="24">
        <f t="shared" si="0"/>
        <v>337.63000488281199</v>
      </c>
    </row>
    <row r="53" spans="2:11">
      <c r="B53" t="s">
        <v>33</v>
      </c>
      <c r="C53" s="19" t="s">
        <v>34</v>
      </c>
      <c r="D53" s="20">
        <v>45033</v>
      </c>
      <c r="E53" s="21">
        <v>338</v>
      </c>
      <c r="F53" s="21">
        <v>338.39001464843699</v>
      </c>
      <c r="G53" s="21">
        <v>327.5</v>
      </c>
      <c r="H53" s="21">
        <v>332.72000122070301</v>
      </c>
      <c r="I53" s="21">
        <v>332.72000122070301</v>
      </c>
      <c r="J53" s="21">
        <v>6136000</v>
      </c>
      <c r="K53" s="24">
        <f t="shared" si="0"/>
        <v>331.72000122070301</v>
      </c>
    </row>
    <row r="54" spans="2:11">
      <c r="B54" t="s">
        <v>33</v>
      </c>
      <c r="C54" s="19" t="s">
        <v>34</v>
      </c>
      <c r="D54" s="20">
        <v>45034</v>
      </c>
      <c r="E54" s="21">
        <v>335</v>
      </c>
      <c r="F54" s="21">
        <v>337.19000244140602</v>
      </c>
      <c r="G54" s="21">
        <v>330.5</v>
      </c>
      <c r="H54" s="21">
        <v>333.70001220703102</v>
      </c>
      <c r="I54" s="21">
        <v>333.70001220703102</v>
      </c>
      <c r="J54" s="21">
        <v>17944500</v>
      </c>
      <c r="K54" s="24">
        <f t="shared" si="0"/>
        <v>332.70001220703102</v>
      </c>
    </row>
    <row r="55" spans="2:11">
      <c r="B55" t="s">
        <v>33</v>
      </c>
      <c r="C55" s="19" t="s">
        <v>34</v>
      </c>
      <c r="D55" s="20">
        <v>45035</v>
      </c>
      <c r="E55" s="21">
        <v>324.20999145507801</v>
      </c>
      <c r="F55" s="21">
        <v>325.75</v>
      </c>
      <c r="G55" s="21">
        <v>316.100006103515</v>
      </c>
      <c r="H55" s="21">
        <v>323.11999511718699</v>
      </c>
      <c r="I55" s="21">
        <v>323.11999511718699</v>
      </c>
      <c r="J55" s="21">
        <v>22128300</v>
      </c>
      <c r="K55" s="24">
        <f t="shared" si="0"/>
        <v>322.11999511718699</v>
      </c>
    </row>
    <row r="56" spans="2:11">
      <c r="B56" t="s">
        <v>33</v>
      </c>
      <c r="C56" s="19" t="s">
        <v>34</v>
      </c>
      <c r="D56" s="20">
        <v>45036</v>
      </c>
      <c r="E56" s="21">
        <v>320.39001464843699</v>
      </c>
      <c r="F56" s="21">
        <v>331.42999267578102</v>
      </c>
      <c r="G56" s="21">
        <v>318.329986572265</v>
      </c>
      <c r="H56" s="21">
        <v>325.350006103515</v>
      </c>
      <c r="I56" s="21">
        <v>325.350006103515</v>
      </c>
      <c r="J56" s="21">
        <v>9947800</v>
      </c>
      <c r="K56" s="24">
        <f t="shared" si="0"/>
        <v>324.350006103515</v>
      </c>
    </row>
    <row r="57" spans="2:11">
      <c r="B57" t="s">
        <v>33</v>
      </c>
      <c r="C57" s="19" t="s">
        <v>34</v>
      </c>
      <c r="D57" s="20">
        <v>45037</v>
      </c>
      <c r="E57" s="21">
        <v>323</v>
      </c>
      <c r="F57" s="21">
        <v>328.29000854492102</v>
      </c>
      <c r="G57" s="21">
        <v>319.5</v>
      </c>
      <c r="H57" s="21">
        <v>327.98001098632801</v>
      </c>
      <c r="I57" s="21">
        <v>327.98001098632801</v>
      </c>
      <c r="J57" s="21">
        <v>6348000</v>
      </c>
      <c r="K57" s="24">
        <f t="shared" si="0"/>
        <v>326.98001098632801</v>
      </c>
    </row>
    <row r="58" spans="2:11">
      <c r="B58" t="s">
        <v>33</v>
      </c>
      <c r="C58" s="19" t="s">
        <v>34</v>
      </c>
      <c r="D58" s="20">
        <v>45040</v>
      </c>
      <c r="E58" s="21">
        <v>330.20001220703102</v>
      </c>
      <c r="F58" s="21">
        <v>334.66000366210898</v>
      </c>
      <c r="G58" s="21">
        <v>326.75</v>
      </c>
      <c r="H58" s="21">
        <v>329.01998901367102</v>
      </c>
      <c r="I58" s="21">
        <v>329.01998901367102</v>
      </c>
      <c r="J58" s="21">
        <v>5586600</v>
      </c>
      <c r="K58" s="24">
        <f t="shared" si="0"/>
        <v>328.01998901367102</v>
      </c>
    </row>
    <row r="59" spans="2:11">
      <c r="B59" t="s">
        <v>33</v>
      </c>
      <c r="C59" s="19" t="s">
        <v>34</v>
      </c>
      <c r="D59" s="20">
        <v>45041</v>
      </c>
      <c r="E59" s="21">
        <v>328.5</v>
      </c>
      <c r="F59" s="21">
        <v>328.66000366210898</v>
      </c>
      <c r="G59" s="21">
        <v>321.100006103515</v>
      </c>
      <c r="H59" s="21">
        <v>322.54998779296801</v>
      </c>
      <c r="I59" s="21">
        <v>322.54998779296801</v>
      </c>
      <c r="J59" s="21">
        <v>5426600</v>
      </c>
      <c r="K59" s="24">
        <f t="shared" si="0"/>
        <v>321.54998779296801</v>
      </c>
    </row>
    <row r="60" spans="2:11">
      <c r="B60" t="s">
        <v>33</v>
      </c>
      <c r="C60" s="19" t="s">
        <v>34</v>
      </c>
      <c r="D60" s="20">
        <v>45042</v>
      </c>
      <c r="E60" s="21">
        <v>321.35998535156199</v>
      </c>
      <c r="F60" s="21">
        <v>325.89999389648398</v>
      </c>
      <c r="G60" s="21">
        <v>320.47000122070301</v>
      </c>
      <c r="H60" s="21">
        <v>321.14999389648398</v>
      </c>
      <c r="I60" s="21">
        <v>321.14999389648398</v>
      </c>
      <c r="J60" s="21">
        <v>4623200</v>
      </c>
      <c r="K60" s="24">
        <f t="shared" si="0"/>
        <v>320.14999389648398</v>
      </c>
    </row>
    <row r="61" spans="2:11">
      <c r="B61" t="s">
        <v>33</v>
      </c>
      <c r="C61" s="19" t="s">
        <v>34</v>
      </c>
      <c r="D61" s="20">
        <v>45043</v>
      </c>
      <c r="E61" s="21">
        <v>324.29998779296801</v>
      </c>
      <c r="F61" s="21">
        <v>327.45001220703102</v>
      </c>
      <c r="G61" s="21">
        <v>317.44000244140602</v>
      </c>
      <c r="H61" s="21">
        <v>325.850006103515</v>
      </c>
      <c r="I61" s="21">
        <v>325.850006103515</v>
      </c>
      <c r="J61" s="21">
        <v>5618800</v>
      </c>
      <c r="K61" s="24">
        <f t="shared" si="0"/>
        <v>324.850006103515</v>
      </c>
    </row>
    <row r="62" spans="2:11">
      <c r="B62" t="s">
        <v>33</v>
      </c>
      <c r="C62" s="19" t="s">
        <v>34</v>
      </c>
      <c r="D62" s="20">
        <v>45044</v>
      </c>
      <c r="E62" s="21">
        <v>325.239990234375</v>
      </c>
      <c r="F62" s="21">
        <v>330.80999755859301</v>
      </c>
      <c r="G62" s="21">
        <v>324</v>
      </c>
      <c r="H62" s="21">
        <v>329.92999267578102</v>
      </c>
      <c r="I62" s="21">
        <v>329.92999267578102</v>
      </c>
      <c r="J62" s="21">
        <v>4221900</v>
      </c>
      <c r="K62" s="24">
        <f t="shared" si="0"/>
        <v>328.92999267578102</v>
      </c>
    </row>
    <row r="63" spans="2:11">
      <c r="B63" t="s">
        <v>33</v>
      </c>
      <c r="C63" s="19" t="s">
        <v>34</v>
      </c>
      <c r="D63" s="20">
        <v>45047</v>
      </c>
      <c r="E63" s="21">
        <v>329.44000244140602</v>
      </c>
      <c r="F63" s="21">
        <v>331.23001098632801</v>
      </c>
      <c r="G63" s="21">
        <v>318.08999633789</v>
      </c>
      <c r="H63" s="21">
        <v>324.11999511718699</v>
      </c>
      <c r="I63" s="21">
        <v>324.11999511718699</v>
      </c>
      <c r="J63" s="21">
        <v>5341500</v>
      </c>
      <c r="K63" s="24">
        <f t="shared" si="0"/>
        <v>323.11999511718699</v>
      </c>
    </row>
    <row r="64" spans="2:11">
      <c r="B64" t="s">
        <v>33</v>
      </c>
      <c r="C64" s="19" t="s">
        <v>34</v>
      </c>
      <c r="D64" s="20">
        <v>45048</v>
      </c>
      <c r="E64" s="21">
        <v>325</v>
      </c>
      <c r="F64" s="21">
        <v>326.07000732421801</v>
      </c>
      <c r="G64" s="21">
        <v>315.61999511718699</v>
      </c>
      <c r="H64" s="21">
        <v>317.54998779296801</v>
      </c>
      <c r="I64" s="21">
        <v>317.54998779296801</v>
      </c>
      <c r="J64" s="21">
        <v>4318600</v>
      </c>
      <c r="K64" s="24">
        <f t="shared" si="0"/>
        <v>316.54998779296801</v>
      </c>
    </row>
    <row r="65" spans="2:11">
      <c r="B65" t="s">
        <v>33</v>
      </c>
      <c r="C65" s="19" t="s">
        <v>34</v>
      </c>
      <c r="D65" s="20">
        <v>45049</v>
      </c>
      <c r="E65" s="21">
        <v>317.54998779296801</v>
      </c>
      <c r="F65" s="21">
        <v>324.61999511718699</v>
      </c>
      <c r="G65" s="21">
        <v>315.850006103515</v>
      </c>
      <c r="H65" s="21">
        <v>319.29998779296801</v>
      </c>
      <c r="I65" s="21">
        <v>319.29998779296801</v>
      </c>
      <c r="J65" s="21">
        <v>5064100</v>
      </c>
      <c r="K65" s="24">
        <f t="shared" si="0"/>
        <v>318.29998779296801</v>
      </c>
    </row>
    <row r="66" spans="2:11">
      <c r="B66" t="s">
        <v>33</v>
      </c>
      <c r="C66" s="19" t="s">
        <v>34</v>
      </c>
      <c r="D66" s="20">
        <v>45050</v>
      </c>
      <c r="E66" s="21">
        <v>319.010009765625</v>
      </c>
      <c r="F66" s="21">
        <v>323.60998535156199</v>
      </c>
      <c r="G66" s="21">
        <v>317.95001220703102</v>
      </c>
      <c r="H66" s="21">
        <v>320.77999877929602</v>
      </c>
      <c r="I66" s="21">
        <v>320.77999877929602</v>
      </c>
      <c r="J66" s="21">
        <v>3879700</v>
      </c>
      <c r="K66" s="24">
        <f t="shared" si="0"/>
        <v>319.77999877929602</v>
      </c>
    </row>
    <row r="67" spans="2:11">
      <c r="B67" t="s">
        <v>33</v>
      </c>
      <c r="C67" s="19" t="s">
        <v>34</v>
      </c>
      <c r="D67" s="20">
        <v>45051</v>
      </c>
      <c r="E67" s="21">
        <v>323.60998535156199</v>
      </c>
      <c r="F67" s="21">
        <v>324.14999389648398</v>
      </c>
      <c r="G67" s="21">
        <v>319.44000244140602</v>
      </c>
      <c r="H67" s="21">
        <v>322.760009765625</v>
      </c>
      <c r="I67" s="21">
        <v>322.760009765625</v>
      </c>
      <c r="J67" s="21">
        <v>3988600</v>
      </c>
      <c r="K67" s="24">
        <f t="shared" si="0"/>
        <v>321.760009765625</v>
      </c>
    </row>
  </sheetData>
  <mergeCells count="6">
    <mergeCell ref="N24:R24"/>
    <mergeCell ref="N5:R5"/>
    <mergeCell ref="F3:G3"/>
    <mergeCell ref="N22:P22"/>
    <mergeCell ref="Q22:R22"/>
    <mergeCell ref="N42:R4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S67"/>
  <sheetViews>
    <sheetView showGridLines="0" workbookViewId="0">
      <selection activeCell="N26" sqref="N26"/>
    </sheetView>
  </sheetViews>
  <sheetFormatPr defaultRowHeight="15"/>
  <cols>
    <col min="1" max="1" width="3.28515625" customWidth="1"/>
    <col min="2" max="2" width="12.28515625" customWidth="1"/>
    <col min="3" max="3" width="7.42578125" customWidth="1"/>
    <col min="4" max="4" width="10.85546875" customWidth="1"/>
    <col min="10" max="10" width="13.28515625" customWidth="1"/>
    <col min="11" max="11" width="12.42578125" customWidth="1"/>
  </cols>
  <sheetData>
    <row r="2" spans="2:18" ht="15.75" thickBot="1"/>
    <row r="3" spans="2:18" ht="18.75">
      <c r="B3" s="9"/>
      <c r="C3" s="40"/>
      <c r="D3" s="41"/>
      <c r="E3" s="43"/>
      <c r="F3" s="45" t="s">
        <v>36</v>
      </c>
      <c r="G3" s="45"/>
      <c r="H3" s="43"/>
      <c r="I3" s="43"/>
      <c r="J3" s="43"/>
      <c r="K3" s="43"/>
    </row>
    <row r="4" spans="2:18">
      <c r="B4" s="77" t="str">
        <f>'Apple Stock'!B8</f>
        <v>Comp Name</v>
      </c>
      <c r="C4" s="14" t="str">
        <f>'Apple Stock'!C8</f>
        <v>Ticker</v>
      </c>
      <c r="D4" s="14" t="str">
        <f>'Apple Stock'!D8</f>
        <v>Date</v>
      </c>
      <c r="E4" s="14" t="str">
        <f>'Apple Stock'!E8</f>
        <v>Open</v>
      </c>
      <c r="F4" s="14" t="str">
        <f>'Apple Stock'!F8</f>
        <v>High</v>
      </c>
      <c r="G4" s="14" t="str">
        <f>'Apple Stock'!G8</f>
        <v>Low</v>
      </c>
      <c r="H4" s="14" t="str">
        <f>'Apple Stock'!H8</f>
        <v>Close</v>
      </c>
      <c r="I4" s="14" t="str">
        <f>'Apple Stock'!I8</f>
        <v>Adj Close</v>
      </c>
      <c r="J4" s="14" t="str">
        <f>'Apple Stock'!J8</f>
        <v>Volume</v>
      </c>
      <c r="K4" s="14" t="str">
        <f>'Apple Stock'!K8</f>
        <v>Daily returns</v>
      </c>
    </row>
    <row r="5" spans="2:18">
      <c r="B5" s="6"/>
      <c r="C5" s="11"/>
      <c r="D5" s="46"/>
      <c r="E5" s="46"/>
      <c r="F5" s="46"/>
      <c r="G5" s="46"/>
      <c r="H5" s="46"/>
      <c r="I5" s="46"/>
      <c r="J5" s="46"/>
      <c r="K5" s="46"/>
      <c r="N5" s="15" t="s">
        <v>37</v>
      </c>
      <c r="O5" s="15"/>
      <c r="P5" s="15"/>
      <c r="Q5" s="15"/>
      <c r="R5" s="15"/>
    </row>
    <row r="6" spans="2:18">
      <c r="B6" t="s">
        <v>36</v>
      </c>
      <c r="C6" s="19" t="s">
        <v>6</v>
      </c>
      <c r="D6" s="20">
        <v>44964</v>
      </c>
      <c r="E6" s="21">
        <v>103.629997253417</v>
      </c>
      <c r="F6" s="21">
        <v>108.669998168945</v>
      </c>
      <c r="G6" s="21">
        <v>103.54799652099599</v>
      </c>
      <c r="H6" s="21">
        <v>108.040000915527</v>
      </c>
      <c r="I6" s="21">
        <v>108.040000915527</v>
      </c>
      <c r="J6" s="21">
        <v>33738800</v>
      </c>
      <c r="K6" s="21"/>
    </row>
    <row r="7" spans="2:18">
      <c r="B7" t="s">
        <v>36</v>
      </c>
      <c r="C7" s="19" t="s">
        <v>6</v>
      </c>
      <c r="D7" s="20">
        <v>44965</v>
      </c>
      <c r="E7" s="21">
        <v>102.69000244140599</v>
      </c>
      <c r="F7" s="21">
        <v>103.58000183105401</v>
      </c>
      <c r="G7" s="21">
        <v>98.455001831054602</v>
      </c>
      <c r="H7" s="21">
        <v>100</v>
      </c>
      <c r="I7" s="21">
        <v>100</v>
      </c>
      <c r="J7" s="21">
        <v>73546000</v>
      </c>
      <c r="K7" s="24">
        <f>I7-I6/I6</f>
        <v>99</v>
      </c>
    </row>
    <row r="8" spans="2:18">
      <c r="B8" t="s">
        <v>36</v>
      </c>
      <c r="C8" s="19" t="s">
        <v>6</v>
      </c>
      <c r="D8" s="20">
        <v>44966</v>
      </c>
      <c r="E8" s="21">
        <v>100.540000915527</v>
      </c>
      <c r="F8" s="21">
        <v>100.61000061035099</v>
      </c>
      <c r="G8" s="21">
        <v>93.860000610351506</v>
      </c>
      <c r="H8" s="21">
        <v>95.459999084472599</v>
      </c>
      <c r="I8" s="21">
        <v>95.459999084472599</v>
      </c>
      <c r="J8" s="21">
        <v>97798600</v>
      </c>
      <c r="K8" s="24">
        <f t="shared" ref="K8:K67" si="0">I8-I7/I7</f>
        <v>94.459999084472599</v>
      </c>
    </row>
    <row r="9" spans="2:18">
      <c r="B9" t="s">
        <v>36</v>
      </c>
      <c r="C9" s="19" t="s">
        <v>6</v>
      </c>
      <c r="D9" s="20">
        <v>44967</v>
      </c>
      <c r="E9" s="21">
        <v>95.739997863769503</v>
      </c>
      <c r="F9" s="21">
        <v>97.019996643066406</v>
      </c>
      <c r="G9" s="21">
        <v>94.529998779296804</v>
      </c>
      <c r="H9" s="21">
        <v>94.860000610351506</v>
      </c>
      <c r="I9" s="21">
        <v>94.860000610351506</v>
      </c>
      <c r="J9" s="21">
        <v>49325300</v>
      </c>
      <c r="K9" s="24">
        <f t="shared" si="0"/>
        <v>93.860000610351506</v>
      </c>
    </row>
    <row r="10" spans="2:18">
      <c r="B10" t="s">
        <v>36</v>
      </c>
      <c r="C10" s="19" t="s">
        <v>6</v>
      </c>
      <c r="D10" s="20">
        <v>44970</v>
      </c>
      <c r="E10" s="21">
        <v>95.010002136230398</v>
      </c>
      <c r="F10" s="21">
        <v>95.349998474121094</v>
      </c>
      <c r="G10" s="21">
        <v>94.050003051757798</v>
      </c>
      <c r="H10" s="21">
        <v>95</v>
      </c>
      <c r="I10" s="21">
        <v>95</v>
      </c>
      <c r="J10" s="21">
        <v>43116600</v>
      </c>
      <c r="K10" s="24">
        <f t="shared" si="0"/>
        <v>94</v>
      </c>
    </row>
    <row r="11" spans="2:18">
      <c r="B11" t="s">
        <v>36</v>
      </c>
      <c r="C11" s="19" t="s">
        <v>6</v>
      </c>
      <c r="D11" s="20">
        <v>44971</v>
      </c>
      <c r="E11" s="21">
        <v>94.660003662109304</v>
      </c>
      <c r="F11" s="21">
        <v>95.175003051757798</v>
      </c>
      <c r="G11" s="21">
        <v>92.650001525878906</v>
      </c>
      <c r="H11" s="21">
        <v>94.949996948242102</v>
      </c>
      <c r="I11" s="21">
        <v>94.949996948242102</v>
      </c>
      <c r="J11" s="21">
        <v>42513100</v>
      </c>
      <c r="K11" s="24">
        <f t="shared" si="0"/>
        <v>93.949996948242102</v>
      </c>
    </row>
    <row r="12" spans="2:18">
      <c r="B12" t="s">
        <v>36</v>
      </c>
      <c r="C12" s="19" t="s">
        <v>6</v>
      </c>
      <c r="D12" s="20">
        <v>44972</v>
      </c>
      <c r="E12" s="21">
        <v>94.739997863769503</v>
      </c>
      <c r="F12" s="21">
        <v>97.339996337890597</v>
      </c>
      <c r="G12" s="21">
        <v>94.360000610351506</v>
      </c>
      <c r="H12" s="21">
        <v>97.099998474121094</v>
      </c>
      <c r="I12" s="21">
        <v>97.099998474121094</v>
      </c>
      <c r="J12" s="21">
        <v>36964500</v>
      </c>
      <c r="K12" s="24">
        <f t="shared" si="0"/>
        <v>96.099998474121094</v>
      </c>
    </row>
    <row r="13" spans="2:18">
      <c r="B13" t="s">
        <v>36</v>
      </c>
      <c r="C13" s="19" t="s">
        <v>6</v>
      </c>
      <c r="D13" s="20">
        <v>44973</v>
      </c>
      <c r="E13" s="21">
        <v>95.540000915527301</v>
      </c>
      <c r="F13" s="21">
        <v>97.879997253417898</v>
      </c>
      <c r="G13" s="21">
        <v>94.970001220703097</v>
      </c>
      <c r="H13" s="21">
        <v>95.779998779296804</v>
      </c>
      <c r="I13" s="21">
        <v>95.779998779296804</v>
      </c>
      <c r="J13" s="21">
        <v>35642100</v>
      </c>
      <c r="K13" s="24">
        <f t="shared" si="0"/>
        <v>94.779998779296804</v>
      </c>
    </row>
    <row r="14" spans="2:18">
      <c r="B14" t="s">
        <v>36</v>
      </c>
      <c r="C14" s="19" t="s">
        <v>6</v>
      </c>
      <c r="D14" s="20">
        <v>44974</v>
      </c>
      <c r="E14" s="21">
        <v>95.069999694824205</v>
      </c>
      <c r="F14" s="21">
        <v>95.75</v>
      </c>
      <c r="G14" s="21">
        <v>93.449996948242102</v>
      </c>
      <c r="H14" s="21">
        <v>94.589996337890597</v>
      </c>
      <c r="I14" s="21">
        <v>94.589996337890597</v>
      </c>
      <c r="J14" s="21">
        <v>31095100</v>
      </c>
      <c r="K14" s="24">
        <f t="shared" si="0"/>
        <v>93.589996337890597</v>
      </c>
    </row>
    <row r="15" spans="2:18">
      <c r="B15" t="s">
        <v>36</v>
      </c>
      <c r="C15" s="19" t="s">
        <v>6</v>
      </c>
      <c r="D15" s="20">
        <v>44978</v>
      </c>
      <c r="E15" s="21">
        <v>93.239997863769503</v>
      </c>
      <c r="F15" s="21">
        <v>93.415000915527301</v>
      </c>
      <c r="G15" s="21">
        <v>92</v>
      </c>
      <c r="H15" s="21">
        <v>92.050003051757798</v>
      </c>
      <c r="I15" s="21">
        <v>92.050003051757798</v>
      </c>
      <c r="J15" s="21">
        <v>28367200</v>
      </c>
      <c r="K15" s="24">
        <f t="shared" si="0"/>
        <v>91.050003051757798</v>
      </c>
    </row>
    <row r="16" spans="2:18">
      <c r="B16" t="s">
        <v>36</v>
      </c>
      <c r="C16" s="19" t="s">
        <v>6</v>
      </c>
      <c r="D16" s="20">
        <v>44979</v>
      </c>
      <c r="E16" s="21">
        <v>91.933998107910099</v>
      </c>
      <c r="F16" s="21">
        <v>92.360000610351506</v>
      </c>
      <c r="G16" s="21">
        <v>90.870002746582003</v>
      </c>
      <c r="H16" s="21">
        <v>91.800003051757798</v>
      </c>
      <c r="I16" s="21">
        <v>91.800003051757798</v>
      </c>
      <c r="J16" s="21">
        <v>29891100</v>
      </c>
      <c r="K16" s="24">
        <f t="shared" si="0"/>
        <v>90.800003051757798</v>
      </c>
    </row>
    <row r="17" spans="2:18">
      <c r="B17" t="s">
        <v>36</v>
      </c>
      <c r="C17" s="19" t="s">
        <v>6</v>
      </c>
      <c r="D17" s="20">
        <v>44980</v>
      </c>
      <c r="E17" s="21">
        <v>92.129997253417898</v>
      </c>
      <c r="F17" s="21">
        <v>92.129997253417898</v>
      </c>
      <c r="G17" s="21">
        <v>90.010002136230398</v>
      </c>
      <c r="H17" s="21">
        <v>91.069999694824205</v>
      </c>
      <c r="I17" s="21">
        <v>91.069999694824205</v>
      </c>
      <c r="J17" s="21">
        <v>32423700</v>
      </c>
      <c r="K17" s="24">
        <f t="shared" si="0"/>
        <v>90.069999694824205</v>
      </c>
    </row>
    <row r="18" spans="2:18">
      <c r="B18" t="s">
        <v>36</v>
      </c>
      <c r="C18" s="19" t="s">
        <v>6</v>
      </c>
      <c r="D18" s="20">
        <v>44981</v>
      </c>
      <c r="E18" s="21">
        <v>89.629997253417898</v>
      </c>
      <c r="F18" s="21">
        <v>90.129997253417898</v>
      </c>
      <c r="G18" s="21">
        <v>88.860000610351506</v>
      </c>
      <c r="H18" s="21">
        <v>89.349998474121094</v>
      </c>
      <c r="I18" s="21">
        <v>89.349998474121094</v>
      </c>
      <c r="J18" s="21">
        <v>31295600</v>
      </c>
      <c r="K18" s="24">
        <f t="shared" si="0"/>
        <v>88.349998474121094</v>
      </c>
    </row>
    <row r="19" spans="2:18">
      <c r="B19" t="s">
        <v>36</v>
      </c>
      <c r="C19" s="19" t="s">
        <v>6</v>
      </c>
      <c r="D19" s="20">
        <v>44984</v>
      </c>
      <c r="E19" s="21">
        <v>90.089996337890597</v>
      </c>
      <c r="F19" s="21">
        <v>90.449996948242102</v>
      </c>
      <c r="G19" s="21">
        <v>89.610000610351506</v>
      </c>
      <c r="H19" s="21">
        <v>90.099998474121094</v>
      </c>
      <c r="I19" s="21">
        <v>90.099998474121094</v>
      </c>
      <c r="J19" s="21">
        <v>22724300</v>
      </c>
      <c r="K19" s="24">
        <f t="shared" si="0"/>
        <v>89.099998474121094</v>
      </c>
    </row>
    <row r="20" spans="2:18">
      <c r="B20" t="s">
        <v>36</v>
      </c>
      <c r="C20" s="19" t="s">
        <v>6</v>
      </c>
      <c r="D20" s="20">
        <v>44985</v>
      </c>
      <c r="E20" s="21">
        <v>89.540000915527301</v>
      </c>
      <c r="F20" s="21">
        <v>91.449996948242102</v>
      </c>
      <c r="G20" s="21">
        <v>89.519996643066406</v>
      </c>
      <c r="H20" s="21">
        <v>90.300003051757798</v>
      </c>
      <c r="I20" s="21">
        <v>90.300003051757798</v>
      </c>
      <c r="J20" s="21">
        <v>30546900</v>
      </c>
      <c r="K20" s="24">
        <f t="shared" si="0"/>
        <v>89.300003051757798</v>
      </c>
    </row>
    <row r="21" spans="2:18">
      <c r="B21" t="s">
        <v>36</v>
      </c>
      <c r="C21" s="19" t="s">
        <v>6</v>
      </c>
      <c r="D21" s="20">
        <v>44986</v>
      </c>
      <c r="E21" s="21">
        <v>90.160003662109304</v>
      </c>
      <c r="F21" s="21">
        <v>91.199996948242102</v>
      </c>
      <c r="G21" s="21">
        <v>89.849998474121094</v>
      </c>
      <c r="H21" s="21">
        <v>90.510002136230398</v>
      </c>
      <c r="I21" s="21">
        <v>90.510002136230398</v>
      </c>
      <c r="J21" s="21">
        <v>26323900</v>
      </c>
      <c r="K21" s="24">
        <f t="shared" si="0"/>
        <v>89.510002136230398</v>
      </c>
    </row>
    <row r="22" spans="2:18">
      <c r="B22" t="s">
        <v>36</v>
      </c>
      <c r="C22" s="19" t="s">
        <v>6</v>
      </c>
      <c r="D22" s="20">
        <v>44987</v>
      </c>
      <c r="E22" s="21">
        <v>89.860000610351506</v>
      </c>
      <c r="F22" s="21">
        <v>92.480003356933594</v>
      </c>
      <c r="G22" s="21">
        <v>89.769996643066406</v>
      </c>
      <c r="H22" s="21">
        <v>92.309997558593693</v>
      </c>
      <c r="I22" s="21">
        <v>92.309997558593693</v>
      </c>
      <c r="J22" s="21">
        <v>23328600</v>
      </c>
      <c r="K22" s="24">
        <f t="shared" si="0"/>
        <v>91.309997558593693</v>
      </c>
    </row>
    <row r="23" spans="2:18">
      <c r="B23" t="s">
        <v>36</v>
      </c>
      <c r="C23" s="19" t="s">
        <v>6</v>
      </c>
      <c r="D23" s="20">
        <v>44988</v>
      </c>
      <c r="E23" s="21">
        <v>92.739997863769503</v>
      </c>
      <c r="F23" s="21">
        <v>94.110000610351506</v>
      </c>
      <c r="G23" s="21">
        <v>92.660003662109304</v>
      </c>
      <c r="H23" s="21">
        <v>94.019996643066406</v>
      </c>
      <c r="I23" s="21">
        <v>94.019996643066406</v>
      </c>
      <c r="J23" s="21">
        <v>30242500</v>
      </c>
      <c r="K23" s="24">
        <f t="shared" si="0"/>
        <v>93.019996643066406</v>
      </c>
    </row>
    <row r="24" spans="2:18">
      <c r="B24" t="s">
        <v>36</v>
      </c>
      <c r="C24" s="19" t="s">
        <v>6</v>
      </c>
      <c r="D24" s="20">
        <v>44991</v>
      </c>
      <c r="E24" s="21">
        <v>94.360000610351506</v>
      </c>
      <c r="F24" s="21">
        <v>96.300003051757798</v>
      </c>
      <c r="G24" s="21">
        <v>94.300003051757798</v>
      </c>
      <c r="H24" s="21">
        <v>95.580001831054602</v>
      </c>
      <c r="I24" s="21">
        <v>95.580001831054602</v>
      </c>
      <c r="J24" s="21">
        <v>28288200</v>
      </c>
      <c r="K24" s="24">
        <f t="shared" si="0"/>
        <v>94.580001831054602</v>
      </c>
    </row>
    <row r="25" spans="2:18">
      <c r="B25" t="s">
        <v>36</v>
      </c>
      <c r="C25" s="19" t="s">
        <v>6</v>
      </c>
      <c r="D25" s="20">
        <v>44992</v>
      </c>
      <c r="E25" s="21">
        <v>95.419998168945298</v>
      </c>
      <c r="F25" s="21">
        <v>96.089996337890597</v>
      </c>
      <c r="G25" s="21">
        <v>93.844001770019503</v>
      </c>
      <c r="H25" s="21">
        <v>94.169998168945298</v>
      </c>
      <c r="I25" s="21">
        <v>94.169998168945298</v>
      </c>
      <c r="J25" s="21">
        <v>24101500</v>
      </c>
      <c r="K25" s="24">
        <f t="shared" si="0"/>
        <v>93.169998168945298</v>
      </c>
      <c r="N25" s="15" t="s">
        <v>39</v>
      </c>
      <c r="O25" s="15"/>
      <c r="P25" s="15"/>
      <c r="Q25" s="15"/>
      <c r="R25" s="15"/>
    </row>
    <row r="26" spans="2:18">
      <c r="B26" t="s">
        <v>36</v>
      </c>
      <c r="C26" s="19" t="s">
        <v>6</v>
      </c>
      <c r="D26" s="20">
        <v>44993</v>
      </c>
      <c r="E26" s="21">
        <v>94.404998779296804</v>
      </c>
      <c r="F26" s="21">
        <v>96.239997863769503</v>
      </c>
      <c r="G26" s="21">
        <v>94.404998779296804</v>
      </c>
      <c r="H26" s="21">
        <v>94.650001525878906</v>
      </c>
      <c r="I26" s="21">
        <v>94.650001525878906</v>
      </c>
      <c r="J26" s="21">
        <v>25395200</v>
      </c>
      <c r="K26" s="24">
        <f t="shared" si="0"/>
        <v>93.650001525878906</v>
      </c>
    </row>
    <row r="27" spans="2:18">
      <c r="B27" t="s">
        <v>36</v>
      </c>
      <c r="C27" s="19" t="s">
        <v>6</v>
      </c>
      <c r="D27" s="20">
        <v>44994</v>
      </c>
      <c r="E27" s="21">
        <v>94.489997863769503</v>
      </c>
      <c r="F27" s="21">
        <v>95.919998168945298</v>
      </c>
      <c r="G27" s="21">
        <v>92.355003356933594</v>
      </c>
      <c r="H27" s="21">
        <v>92.660003662109304</v>
      </c>
      <c r="I27" s="21">
        <v>92.660003662109304</v>
      </c>
      <c r="J27" s="21">
        <v>24438900</v>
      </c>
      <c r="K27" s="24">
        <f t="shared" si="0"/>
        <v>91.660003662109304</v>
      </c>
    </row>
    <row r="28" spans="2:18">
      <c r="B28" t="s">
        <v>36</v>
      </c>
      <c r="C28" s="19" t="s">
        <v>6</v>
      </c>
      <c r="D28" s="20">
        <v>44995</v>
      </c>
      <c r="E28" s="21">
        <v>92.5</v>
      </c>
      <c r="F28" s="21">
        <v>93.180000305175696</v>
      </c>
      <c r="G28" s="21">
        <v>90.800003051757798</v>
      </c>
      <c r="H28" s="21">
        <v>91.010002136230398</v>
      </c>
      <c r="I28" s="21">
        <v>91.010002136230398</v>
      </c>
      <c r="J28" s="21">
        <v>32850100</v>
      </c>
      <c r="K28" s="24">
        <f t="shared" si="0"/>
        <v>90.010002136230398</v>
      </c>
    </row>
    <row r="29" spans="2:18">
      <c r="B29" t="s">
        <v>36</v>
      </c>
      <c r="C29" s="19" t="s">
        <v>6</v>
      </c>
      <c r="D29" s="20">
        <v>44998</v>
      </c>
      <c r="E29" s="21">
        <v>90.565002441406193</v>
      </c>
      <c r="F29" s="21">
        <v>93.080001831054602</v>
      </c>
      <c r="G29" s="21">
        <v>89.940002441406193</v>
      </c>
      <c r="H29" s="21">
        <v>91.660003662109304</v>
      </c>
      <c r="I29" s="21">
        <v>91.660003662109304</v>
      </c>
      <c r="J29" s="21">
        <v>31508600</v>
      </c>
      <c r="K29" s="24">
        <f t="shared" si="0"/>
        <v>90.660003662109304</v>
      </c>
    </row>
    <row r="30" spans="2:18">
      <c r="B30" t="s">
        <v>36</v>
      </c>
      <c r="C30" s="19" t="s">
        <v>6</v>
      </c>
      <c r="D30" s="20">
        <v>44999</v>
      </c>
      <c r="E30" s="21">
        <v>93.069999694824205</v>
      </c>
      <c r="F30" s="21">
        <v>94.830001831054602</v>
      </c>
      <c r="G30" s="21">
        <v>92.779998779296804</v>
      </c>
      <c r="H30" s="21">
        <v>94.25</v>
      </c>
      <c r="I30" s="21">
        <v>94.25</v>
      </c>
      <c r="J30" s="21">
        <v>32303900</v>
      </c>
      <c r="K30" s="24">
        <f t="shared" si="0"/>
        <v>93.25</v>
      </c>
    </row>
    <row r="31" spans="2:18">
      <c r="B31" t="s">
        <v>36</v>
      </c>
      <c r="C31" s="19" t="s">
        <v>6</v>
      </c>
      <c r="D31" s="20">
        <v>45000</v>
      </c>
      <c r="E31" s="21">
        <v>93.540000915527301</v>
      </c>
      <c r="F31" s="21">
        <v>97.25</v>
      </c>
      <c r="G31" s="21">
        <v>93.040000915527301</v>
      </c>
      <c r="H31" s="21">
        <v>96.550003051757798</v>
      </c>
      <c r="I31" s="21">
        <v>96.550003051757798</v>
      </c>
      <c r="J31" s="21">
        <v>38367300</v>
      </c>
      <c r="K31" s="24">
        <f t="shared" si="0"/>
        <v>95.550003051757798</v>
      </c>
    </row>
    <row r="32" spans="2:18">
      <c r="B32" t="s">
        <v>36</v>
      </c>
      <c r="C32" s="19" t="s">
        <v>6</v>
      </c>
      <c r="D32" s="20">
        <v>45001</v>
      </c>
      <c r="E32" s="21">
        <v>96.569999694824205</v>
      </c>
      <c r="F32" s="21">
        <v>101.970001220703</v>
      </c>
      <c r="G32" s="21">
        <v>95.870002746582003</v>
      </c>
      <c r="H32" s="21">
        <v>101.06999969482401</v>
      </c>
      <c r="I32" s="21">
        <v>101.06999969482401</v>
      </c>
      <c r="J32" s="21">
        <v>54499500</v>
      </c>
      <c r="K32" s="24">
        <f t="shared" si="0"/>
        <v>100.06999969482401</v>
      </c>
    </row>
    <row r="33" spans="2:19">
      <c r="B33" t="s">
        <v>36</v>
      </c>
      <c r="C33" s="19" t="s">
        <v>6</v>
      </c>
      <c r="D33" s="20">
        <v>45002</v>
      </c>
      <c r="E33" s="21">
        <v>100.83999633789</v>
      </c>
      <c r="F33" s="21">
        <v>103.48999786376901</v>
      </c>
      <c r="G33" s="21">
        <v>100.75</v>
      </c>
      <c r="H33" s="21">
        <v>102.459999084472</v>
      </c>
      <c r="I33" s="21">
        <v>102.459999084472</v>
      </c>
      <c r="J33" s="21">
        <v>76140300</v>
      </c>
      <c r="K33" s="24">
        <f t="shared" si="0"/>
        <v>101.459999084472</v>
      </c>
    </row>
    <row r="34" spans="2:19">
      <c r="B34" t="s">
        <v>36</v>
      </c>
      <c r="C34" s="19" t="s">
        <v>6</v>
      </c>
      <c r="D34" s="20">
        <v>45005</v>
      </c>
      <c r="E34" s="21">
        <v>101.059997558593</v>
      </c>
      <c r="F34" s="21">
        <v>102.58000183105401</v>
      </c>
      <c r="G34" s="21">
        <v>100.790000915527</v>
      </c>
      <c r="H34" s="21">
        <v>101.930000305175</v>
      </c>
      <c r="I34" s="21">
        <v>101.930000305175</v>
      </c>
      <c r="J34" s="21">
        <v>26033900</v>
      </c>
      <c r="K34" s="24">
        <f t="shared" si="0"/>
        <v>100.930000305175</v>
      </c>
    </row>
    <row r="35" spans="2:19">
      <c r="B35" t="s">
        <v>36</v>
      </c>
      <c r="C35" s="19" t="s">
        <v>6</v>
      </c>
      <c r="D35" s="20">
        <v>45006</v>
      </c>
      <c r="E35" s="21">
        <v>101.980003356933</v>
      </c>
      <c r="F35" s="21">
        <v>105.959999084472</v>
      </c>
      <c r="G35" s="21">
        <v>101.86000061035099</v>
      </c>
      <c r="H35" s="21">
        <v>105.83999633789</v>
      </c>
      <c r="I35" s="21">
        <v>105.83999633789</v>
      </c>
      <c r="J35" s="21">
        <v>33122800</v>
      </c>
      <c r="K35" s="24">
        <f t="shared" si="0"/>
        <v>104.83999633789</v>
      </c>
    </row>
    <row r="36" spans="2:19">
      <c r="B36" t="s">
        <v>36</v>
      </c>
      <c r="C36" s="19" t="s">
        <v>6</v>
      </c>
      <c r="D36" s="20">
        <v>45007</v>
      </c>
      <c r="E36" s="21">
        <v>105.139999389648</v>
      </c>
      <c r="F36" s="21">
        <v>107.51000213623</v>
      </c>
      <c r="G36" s="21">
        <v>104.209999084472</v>
      </c>
      <c r="H36" s="21">
        <v>104.220001220703</v>
      </c>
      <c r="I36" s="21">
        <v>104.220001220703</v>
      </c>
      <c r="J36" s="21">
        <v>32336900</v>
      </c>
      <c r="K36" s="24">
        <f t="shared" si="0"/>
        <v>103.220001220703</v>
      </c>
    </row>
    <row r="37" spans="2:19">
      <c r="B37" t="s">
        <v>36</v>
      </c>
      <c r="C37" s="19" t="s">
        <v>6</v>
      </c>
      <c r="D37" s="20">
        <v>45008</v>
      </c>
      <c r="E37" s="21">
        <v>105.889999389648</v>
      </c>
      <c r="F37" s="21">
        <v>107.10099792480401</v>
      </c>
      <c r="G37" s="21">
        <v>105.41000366210901</v>
      </c>
      <c r="H37" s="21">
        <v>106.26000213623</v>
      </c>
      <c r="I37" s="21">
        <v>106.26000213623</v>
      </c>
      <c r="J37" s="21">
        <v>31385800</v>
      </c>
      <c r="K37" s="24">
        <f t="shared" si="0"/>
        <v>105.26000213623</v>
      </c>
    </row>
    <row r="38" spans="2:19">
      <c r="B38" t="s">
        <v>36</v>
      </c>
      <c r="C38" s="19" t="s">
        <v>6</v>
      </c>
      <c r="D38" s="20">
        <v>45009</v>
      </c>
      <c r="E38" s="21">
        <v>105.73999786376901</v>
      </c>
      <c r="F38" s="21">
        <v>106.16000366210901</v>
      </c>
      <c r="G38" s="21">
        <v>104.73999786376901</v>
      </c>
      <c r="H38" s="21">
        <v>106.059997558593</v>
      </c>
      <c r="I38" s="21">
        <v>106.059997558593</v>
      </c>
      <c r="J38" s="21">
        <v>25245000</v>
      </c>
      <c r="K38" s="24">
        <f t="shared" si="0"/>
        <v>105.059997558593</v>
      </c>
    </row>
    <row r="39" spans="2:19">
      <c r="B39" t="s">
        <v>36</v>
      </c>
      <c r="C39" s="19" t="s">
        <v>6</v>
      </c>
      <c r="D39" s="20">
        <v>45012</v>
      </c>
      <c r="E39" s="21">
        <v>105.31999969482401</v>
      </c>
      <c r="F39" s="21">
        <v>105.400001525878</v>
      </c>
      <c r="G39" s="21">
        <v>102.629997253417</v>
      </c>
      <c r="H39" s="21">
        <v>103.059997558593</v>
      </c>
      <c r="I39" s="21">
        <v>103.059997558593</v>
      </c>
      <c r="J39" s="21">
        <v>25393400</v>
      </c>
      <c r="K39" s="24">
        <f t="shared" si="0"/>
        <v>102.059997558593</v>
      </c>
    </row>
    <row r="40" spans="2:19">
      <c r="B40" t="s">
        <v>36</v>
      </c>
      <c r="C40" s="19" t="s">
        <v>6</v>
      </c>
      <c r="D40" s="20">
        <v>45013</v>
      </c>
      <c r="E40" s="21">
        <v>103</v>
      </c>
      <c r="F40" s="21">
        <v>103</v>
      </c>
      <c r="G40" s="21">
        <v>100.27999877929599</v>
      </c>
      <c r="H40" s="21">
        <v>101.36000061035099</v>
      </c>
      <c r="I40" s="21">
        <v>101.36000061035099</v>
      </c>
      <c r="J40" s="21">
        <v>24913500</v>
      </c>
      <c r="K40" s="24">
        <f t="shared" si="0"/>
        <v>100.36000061035099</v>
      </c>
    </row>
    <row r="41" spans="2:19">
      <c r="B41" t="s">
        <v>36</v>
      </c>
      <c r="C41" s="19" t="s">
        <v>6</v>
      </c>
      <c r="D41" s="20">
        <v>45014</v>
      </c>
      <c r="E41" s="21">
        <v>102.720001220703</v>
      </c>
      <c r="F41" s="21">
        <v>102.81999969482401</v>
      </c>
      <c r="G41" s="21">
        <v>101.02999877929599</v>
      </c>
      <c r="H41" s="21">
        <v>101.900001525878</v>
      </c>
      <c r="I41" s="21">
        <v>101.900001525878</v>
      </c>
      <c r="J41" s="21">
        <v>26148300</v>
      </c>
      <c r="K41" s="24">
        <f t="shared" si="0"/>
        <v>100.900001525878</v>
      </c>
    </row>
    <row r="42" spans="2:19">
      <c r="B42" t="s">
        <v>36</v>
      </c>
      <c r="C42" s="19" t="s">
        <v>6</v>
      </c>
      <c r="D42" s="20">
        <v>45015</v>
      </c>
      <c r="E42" s="21">
        <v>101.44000244140599</v>
      </c>
      <c r="F42" s="21">
        <v>101.61000061035099</v>
      </c>
      <c r="G42" s="21">
        <v>100.290000915527</v>
      </c>
      <c r="H42" s="21">
        <v>101.31999969482401</v>
      </c>
      <c r="I42" s="21">
        <v>101.31999969482401</v>
      </c>
      <c r="J42" s="21">
        <v>25009800</v>
      </c>
      <c r="K42" s="24">
        <f t="shared" si="0"/>
        <v>100.31999969482401</v>
      </c>
    </row>
    <row r="43" spans="2:19">
      <c r="B43" t="s">
        <v>36</v>
      </c>
      <c r="C43" s="19" t="s">
        <v>6</v>
      </c>
      <c r="D43" s="20">
        <v>45016</v>
      </c>
      <c r="E43" s="21">
        <v>101.709999084472</v>
      </c>
      <c r="F43" s="21">
        <v>104.19000244140599</v>
      </c>
      <c r="G43" s="21">
        <v>101.44000244140599</v>
      </c>
      <c r="H43" s="21">
        <v>104</v>
      </c>
      <c r="I43" s="21">
        <v>104</v>
      </c>
      <c r="J43" s="21">
        <v>28086500</v>
      </c>
      <c r="K43" s="24">
        <f t="shared" si="0"/>
        <v>103</v>
      </c>
    </row>
    <row r="44" spans="2:19">
      <c r="B44" t="s">
        <v>36</v>
      </c>
      <c r="C44" s="19" t="s">
        <v>6</v>
      </c>
      <c r="D44" s="20">
        <v>45019</v>
      </c>
      <c r="E44" s="21">
        <v>102.669998168945</v>
      </c>
      <c r="F44" s="21">
        <v>104.949996948242</v>
      </c>
      <c r="G44" s="21">
        <v>102.379997253417</v>
      </c>
      <c r="H44" s="21">
        <v>104.91000366210901</v>
      </c>
      <c r="I44" s="21">
        <v>104.91000366210901</v>
      </c>
      <c r="J44" s="21">
        <v>20719900</v>
      </c>
      <c r="K44" s="24">
        <f t="shared" si="0"/>
        <v>103.91000366210901</v>
      </c>
    </row>
    <row r="45" spans="2:19">
      <c r="B45" t="s">
        <v>36</v>
      </c>
      <c r="C45" s="19" t="s">
        <v>6</v>
      </c>
      <c r="D45" s="20">
        <v>45020</v>
      </c>
      <c r="E45" s="21">
        <v>104.83999633789</v>
      </c>
      <c r="F45" s="21">
        <v>106.09999847412099</v>
      </c>
      <c r="G45" s="21">
        <v>104.59999847412099</v>
      </c>
      <c r="H45" s="21">
        <v>105.120002746582</v>
      </c>
      <c r="I45" s="21">
        <v>105.120002746582</v>
      </c>
      <c r="J45" s="21">
        <v>20377200</v>
      </c>
      <c r="K45" s="24">
        <f t="shared" si="0"/>
        <v>104.120002746582</v>
      </c>
      <c r="O45" s="15" t="s">
        <v>38</v>
      </c>
      <c r="P45" s="15"/>
      <c r="Q45" s="15"/>
      <c r="R45" s="15"/>
      <c r="S45" s="15"/>
    </row>
    <row r="46" spans="2:19">
      <c r="B46" t="s">
        <v>36</v>
      </c>
      <c r="C46" s="19" t="s">
        <v>6</v>
      </c>
      <c r="D46" s="20">
        <v>45021</v>
      </c>
      <c r="E46" s="21">
        <v>106.120002746582</v>
      </c>
      <c r="F46" s="21">
        <v>106.540000915527</v>
      </c>
      <c r="G46" s="21">
        <v>104.101997375488</v>
      </c>
      <c r="H46" s="21">
        <v>104.949996948242</v>
      </c>
      <c r="I46" s="21">
        <v>104.949996948242</v>
      </c>
      <c r="J46" s="21">
        <v>21864200</v>
      </c>
      <c r="K46" s="24">
        <f t="shared" si="0"/>
        <v>103.949996948242</v>
      </c>
    </row>
    <row r="47" spans="2:19">
      <c r="B47" t="s">
        <v>36</v>
      </c>
      <c r="C47" s="19" t="s">
        <v>6</v>
      </c>
      <c r="D47" s="20">
        <v>45022</v>
      </c>
      <c r="E47" s="21">
        <v>105.76999664306599</v>
      </c>
      <c r="F47" s="21">
        <v>109.629997253417</v>
      </c>
      <c r="G47" s="21">
        <v>104.81500244140599</v>
      </c>
      <c r="H47" s="21">
        <v>108.900001525878</v>
      </c>
      <c r="I47" s="21">
        <v>108.900001525878</v>
      </c>
      <c r="J47" s="21">
        <v>34684200</v>
      </c>
      <c r="K47" s="24">
        <f t="shared" si="0"/>
        <v>107.900001525878</v>
      </c>
    </row>
    <row r="48" spans="2:19">
      <c r="B48" t="s">
        <v>36</v>
      </c>
      <c r="C48" s="19" t="s">
        <v>6</v>
      </c>
      <c r="D48" s="20">
        <v>45026</v>
      </c>
      <c r="E48" s="21">
        <v>107.389999389648</v>
      </c>
      <c r="F48" s="21">
        <v>107.970001220703</v>
      </c>
      <c r="G48" s="21">
        <v>105.59999847412099</v>
      </c>
      <c r="H48" s="21">
        <v>106.949996948242</v>
      </c>
      <c r="I48" s="21">
        <v>106.949996948242</v>
      </c>
      <c r="J48" s="21">
        <v>19741500</v>
      </c>
      <c r="K48" s="24">
        <f t="shared" si="0"/>
        <v>105.949996948242</v>
      </c>
    </row>
    <row r="49" spans="2:11">
      <c r="B49" t="s">
        <v>36</v>
      </c>
      <c r="C49" s="19" t="s">
        <v>6</v>
      </c>
      <c r="D49" s="20">
        <v>45027</v>
      </c>
      <c r="E49" s="21">
        <v>106.919998168945</v>
      </c>
      <c r="F49" s="21">
        <v>107.220001220703</v>
      </c>
      <c r="G49" s="21">
        <v>105.27999877929599</v>
      </c>
      <c r="H49" s="21">
        <v>106.120002746582</v>
      </c>
      <c r="I49" s="21">
        <v>106.120002746582</v>
      </c>
      <c r="J49" s="21">
        <v>18721300</v>
      </c>
      <c r="K49" s="24">
        <f t="shared" si="0"/>
        <v>105.120002746582</v>
      </c>
    </row>
    <row r="50" spans="2:11">
      <c r="B50" t="s">
        <v>36</v>
      </c>
      <c r="C50" s="19" t="s">
        <v>6</v>
      </c>
      <c r="D50" s="20">
        <v>45028</v>
      </c>
      <c r="E50" s="21">
        <v>107.389999389648</v>
      </c>
      <c r="F50" s="21">
        <v>107.58699798583901</v>
      </c>
      <c r="G50" s="21">
        <v>104.970001220703</v>
      </c>
      <c r="H50" s="21">
        <v>105.220001220703</v>
      </c>
      <c r="I50" s="21">
        <v>105.220001220703</v>
      </c>
      <c r="J50" s="21">
        <v>22761600</v>
      </c>
      <c r="K50" s="24">
        <f t="shared" si="0"/>
        <v>104.220001220703</v>
      </c>
    </row>
    <row r="51" spans="2:11">
      <c r="B51" t="s">
        <v>36</v>
      </c>
      <c r="C51" s="19" t="s">
        <v>6</v>
      </c>
      <c r="D51" s="20">
        <v>45029</v>
      </c>
      <c r="E51" s="21">
        <v>106.470001220703</v>
      </c>
      <c r="F51" s="21">
        <v>108.264999389648</v>
      </c>
      <c r="G51" s="21">
        <v>106.44000244140599</v>
      </c>
      <c r="H51" s="21">
        <v>108.19000244140599</v>
      </c>
      <c r="I51" s="21">
        <v>108.19000244140599</v>
      </c>
      <c r="J51" s="21">
        <v>21650700</v>
      </c>
      <c r="K51" s="24">
        <f t="shared" si="0"/>
        <v>107.19000244140599</v>
      </c>
    </row>
    <row r="52" spans="2:11">
      <c r="B52" t="s">
        <v>36</v>
      </c>
      <c r="C52" s="19" t="s">
        <v>6</v>
      </c>
      <c r="D52" s="20">
        <v>45030</v>
      </c>
      <c r="E52" s="21">
        <v>107.69000244140599</v>
      </c>
      <c r="F52" s="21">
        <v>109.58000183105401</v>
      </c>
      <c r="G52" s="21">
        <v>107.58999633789</v>
      </c>
      <c r="H52" s="21">
        <v>109.459999084472</v>
      </c>
      <c r="I52" s="21">
        <v>109.459999084472</v>
      </c>
      <c r="J52" s="21">
        <v>20745400</v>
      </c>
      <c r="K52" s="24">
        <f t="shared" si="0"/>
        <v>108.459999084472</v>
      </c>
    </row>
    <row r="53" spans="2:11">
      <c r="B53" t="s">
        <v>36</v>
      </c>
      <c r="C53" s="19" t="s">
        <v>6</v>
      </c>
      <c r="D53" s="20">
        <v>45033</v>
      </c>
      <c r="E53" s="21">
        <v>105.430000305175</v>
      </c>
      <c r="F53" s="21">
        <v>106.709999084472</v>
      </c>
      <c r="G53" s="21">
        <v>105.31999969482401</v>
      </c>
      <c r="H53" s="21">
        <v>106.419998168945</v>
      </c>
      <c r="I53" s="21">
        <v>106.419998168945</v>
      </c>
      <c r="J53" s="21">
        <v>29043400</v>
      </c>
      <c r="K53" s="24">
        <f t="shared" si="0"/>
        <v>105.419998168945</v>
      </c>
    </row>
    <row r="54" spans="2:11">
      <c r="B54" t="s">
        <v>36</v>
      </c>
      <c r="C54" s="19" t="s">
        <v>6</v>
      </c>
      <c r="D54" s="20">
        <v>45034</v>
      </c>
      <c r="E54" s="21">
        <v>107</v>
      </c>
      <c r="F54" s="21">
        <v>107.050003051757</v>
      </c>
      <c r="G54" s="21">
        <v>104.77999877929599</v>
      </c>
      <c r="H54" s="21">
        <v>105.120002746582</v>
      </c>
      <c r="I54" s="21">
        <v>105.120002746582</v>
      </c>
      <c r="J54" s="21">
        <v>17641400</v>
      </c>
      <c r="K54" s="24">
        <f t="shared" si="0"/>
        <v>104.120002746582</v>
      </c>
    </row>
    <row r="55" spans="2:11">
      <c r="B55" t="s">
        <v>36</v>
      </c>
      <c r="C55" s="19" t="s">
        <v>6</v>
      </c>
      <c r="D55" s="20">
        <v>45035</v>
      </c>
      <c r="E55" s="21">
        <v>104.21499633789</v>
      </c>
      <c r="F55" s="21">
        <v>105.72499847412099</v>
      </c>
      <c r="G55" s="21">
        <v>103.800003051757</v>
      </c>
      <c r="H55" s="21">
        <v>105.01999664306599</v>
      </c>
      <c r="I55" s="21">
        <v>105.01999664306599</v>
      </c>
      <c r="J55" s="21">
        <v>16732000</v>
      </c>
      <c r="K55" s="24">
        <f t="shared" si="0"/>
        <v>104.01999664306599</v>
      </c>
    </row>
    <row r="56" spans="2:11">
      <c r="B56" t="s">
        <v>36</v>
      </c>
      <c r="C56" s="19" t="s">
        <v>6</v>
      </c>
      <c r="D56" s="20">
        <v>45036</v>
      </c>
      <c r="E56" s="21">
        <v>104.650001525878</v>
      </c>
      <c r="F56" s="21">
        <v>106.88800048828099</v>
      </c>
      <c r="G56" s="21">
        <v>104.639999389648</v>
      </c>
      <c r="H56" s="21">
        <v>105.900001525878</v>
      </c>
      <c r="I56" s="21">
        <v>105.900001525878</v>
      </c>
      <c r="J56" s="21">
        <v>22515300</v>
      </c>
      <c r="K56" s="24">
        <f t="shared" si="0"/>
        <v>104.900001525878</v>
      </c>
    </row>
    <row r="57" spans="2:11">
      <c r="B57" t="s">
        <v>36</v>
      </c>
      <c r="C57" s="19" t="s">
        <v>6</v>
      </c>
      <c r="D57" s="20">
        <v>45037</v>
      </c>
      <c r="E57" s="21">
        <v>106.08999633789</v>
      </c>
      <c r="F57" s="21">
        <v>106.639999389648</v>
      </c>
      <c r="G57" s="21">
        <v>105.48500061035099</v>
      </c>
      <c r="H57" s="21">
        <v>105.91000366210901</v>
      </c>
      <c r="I57" s="21">
        <v>105.91000366210901</v>
      </c>
      <c r="J57" s="21">
        <v>22369800</v>
      </c>
      <c r="K57" s="24">
        <f t="shared" si="0"/>
        <v>104.91000366210901</v>
      </c>
    </row>
    <row r="58" spans="2:11">
      <c r="B58" t="s">
        <v>36</v>
      </c>
      <c r="C58" s="19" t="s">
        <v>6</v>
      </c>
      <c r="D58" s="20">
        <v>45040</v>
      </c>
      <c r="E58" s="21">
        <v>106.050003051757</v>
      </c>
      <c r="F58" s="21">
        <v>107.31999969482401</v>
      </c>
      <c r="G58" s="21">
        <v>105.36000061035099</v>
      </c>
      <c r="H58" s="21">
        <v>106.77999877929599</v>
      </c>
      <c r="I58" s="21">
        <v>106.77999877929599</v>
      </c>
      <c r="J58" s="21">
        <v>21410900</v>
      </c>
      <c r="K58" s="24">
        <f t="shared" si="0"/>
        <v>105.77999877929599</v>
      </c>
    </row>
    <row r="59" spans="2:11">
      <c r="B59" t="s">
        <v>36</v>
      </c>
      <c r="C59" s="19" t="s">
        <v>6</v>
      </c>
      <c r="D59" s="20">
        <v>45041</v>
      </c>
      <c r="E59" s="21">
        <v>106.61000061035099</v>
      </c>
      <c r="F59" s="21">
        <v>107.44000244140599</v>
      </c>
      <c r="G59" s="21">
        <v>104.559997558593</v>
      </c>
      <c r="H59" s="21">
        <v>104.61000061035099</v>
      </c>
      <c r="I59" s="21">
        <v>104.61000061035099</v>
      </c>
      <c r="J59" s="21">
        <v>31408100</v>
      </c>
      <c r="K59" s="24">
        <f t="shared" si="0"/>
        <v>103.61000061035099</v>
      </c>
    </row>
    <row r="60" spans="2:11">
      <c r="B60" t="s">
        <v>36</v>
      </c>
      <c r="C60" s="19" t="s">
        <v>6</v>
      </c>
      <c r="D60" s="20">
        <v>45042</v>
      </c>
      <c r="E60" s="21">
        <v>105.559997558593</v>
      </c>
      <c r="F60" s="21">
        <v>107.01999664306599</v>
      </c>
      <c r="G60" s="21">
        <v>103.26999664306599</v>
      </c>
      <c r="H60" s="21">
        <v>104.449996948242</v>
      </c>
      <c r="I60" s="21">
        <v>104.449996948242</v>
      </c>
      <c r="J60" s="21">
        <v>37068200</v>
      </c>
      <c r="K60" s="24">
        <f t="shared" si="0"/>
        <v>103.449996948242</v>
      </c>
    </row>
    <row r="61" spans="2:11">
      <c r="B61" t="s">
        <v>36</v>
      </c>
      <c r="C61" s="19" t="s">
        <v>6</v>
      </c>
      <c r="D61" s="20">
        <v>45043</v>
      </c>
      <c r="E61" s="21">
        <v>105.230003356933</v>
      </c>
      <c r="F61" s="21">
        <v>109.150001525878</v>
      </c>
      <c r="G61" s="21">
        <v>104.419998168945</v>
      </c>
      <c r="H61" s="21">
        <v>108.370002746582</v>
      </c>
      <c r="I61" s="21">
        <v>108.370002746582</v>
      </c>
      <c r="J61" s="21">
        <v>38235200</v>
      </c>
      <c r="K61" s="24">
        <f t="shared" si="0"/>
        <v>107.370002746582</v>
      </c>
    </row>
    <row r="62" spans="2:11">
      <c r="B62" t="s">
        <v>36</v>
      </c>
      <c r="C62" s="19" t="s">
        <v>6</v>
      </c>
      <c r="D62" s="20">
        <v>45044</v>
      </c>
      <c r="E62" s="21">
        <v>107.800003051757</v>
      </c>
      <c r="F62" s="21">
        <v>108.290000915527</v>
      </c>
      <c r="G62" s="21">
        <v>106.040000915527</v>
      </c>
      <c r="H62" s="21">
        <v>108.220001220703</v>
      </c>
      <c r="I62" s="21">
        <v>108.220001220703</v>
      </c>
      <c r="J62" s="21">
        <v>23957900</v>
      </c>
      <c r="K62" s="24">
        <f t="shared" si="0"/>
        <v>107.220001220703</v>
      </c>
    </row>
    <row r="63" spans="2:11">
      <c r="B63" t="s">
        <v>36</v>
      </c>
      <c r="C63" s="19" t="s">
        <v>6</v>
      </c>
      <c r="D63" s="20">
        <v>45047</v>
      </c>
      <c r="E63" s="21">
        <v>107.720001220703</v>
      </c>
      <c r="F63" s="21">
        <v>108.680000305175</v>
      </c>
      <c r="G63" s="21">
        <v>107.5</v>
      </c>
      <c r="H63" s="21">
        <v>107.709999084472</v>
      </c>
      <c r="I63" s="21">
        <v>107.709999084472</v>
      </c>
      <c r="J63" s="21">
        <v>20926300</v>
      </c>
      <c r="K63" s="24">
        <f t="shared" si="0"/>
        <v>106.709999084472</v>
      </c>
    </row>
    <row r="64" spans="2:11">
      <c r="B64" t="s">
        <v>36</v>
      </c>
      <c r="C64" s="19" t="s">
        <v>6</v>
      </c>
      <c r="D64" s="20">
        <v>45048</v>
      </c>
      <c r="E64" s="21">
        <v>107.66000366210901</v>
      </c>
      <c r="F64" s="21">
        <v>107.730003356933</v>
      </c>
      <c r="G64" s="21">
        <v>104.5</v>
      </c>
      <c r="H64" s="21">
        <v>105.980003356933</v>
      </c>
      <c r="I64" s="21">
        <v>105.980003356933</v>
      </c>
      <c r="J64" s="21">
        <v>20343100</v>
      </c>
      <c r="K64" s="24">
        <f t="shared" si="0"/>
        <v>104.980003356933</v>
      </c>
    </row>
    <row r="65" spans="2:11">
      <c r="B65" t="s">
        <v>36</v>
      </c>
      <c r="C65" s="19" t="s">
        <v>6</v>
      </c>
      <c r="D65" s="20">
        <v>45049</v>
      </c>
      <c r="E65" s="21">
        <v>106.220001220703</v>
      </c>
      <c r="F65" s="21">
        <v>108.129997253417</v>
      </c>
      <c r="G65" s="21">
        <v>105.620002746582</v>
      </c>
      <c r="H65" s="21">
        <v>106.120002746582</v>
      </c>
      <c r="I65" s="21">
        <v>106.120002746582</v>
      </c>
      <c r="J65" s="21">
        <v>17116300</v>
      </c>
      <c r="K65" s="24">
        <f t="shared" si="0"/>
        <v>105.120002746582</v>
      </c>
    </row>
    <row r="66" spans="2:11">
      <c r="B66" t="s">
        <v>36</v>
      </c>
      <c r="C66" s="19" t="s">
        <v>6</v>
      </c>
      <c r="D66" s="20">
        <v>45050</v>
      </c>
      <c r="E66" s="21">
        <v>106.16000366210901</v>
      </c>
      <c r="F66" s="21">
        <v>106.300003051757</v>
      </c>
      <c r="G66" s="21">
        <v>104.699996948242</v>
      </c>
      <c r="H66" s="21">
        <v>105.209999084472</v>
      </c>
      <c r="I66" s="21">
        <v>105.209999084472</v>
      </c>
      <c r="J66" s="21">
        <v>19780600</v>
      </c>
      <c r="K66" s="24">
        <f t="shared" si="0"/>
        <v>104.209999084472</v>
      </c>
    </row>
    <row r="67" spans="2:11">
      <c r="B67" t="s">
        <v>36</v>
      </c>
      <c r="C67" s="19" t="s">
        <v>6</v>
      </c>
      <c r="D67" s="20">
        <v>45051</v>
      </c>
      <c r="E67" s="21">
        <v>105.31999969482401</v>
      </c>
      <c r="F67" s="21">
        <v>106.44000244140599</v>
      </c>
      <c r="G67" s="21">
        <v>104.738998413085</v>
      </c>
      <c r="H67" s="21">
        <v>106.21499633789</v>
      </c>
      <c r="I67" s="21">
        <v>106.21499633789</v>
      </c>
      <c r="J67" s="21">
        <v>20705300</v>
      </c>
      <c r="K67" s="24">
        <f t="shared" si="0"/>
        <v>105.21499633789</v>
      </c>
    </row>
  </sheetData>
  <mergeCells count="4">
    <mergeCell ref="F3:G3"/>
    <mergeCell ref="N5:R5"/>
    <mergeCell ref="N25:R25"/>
    <mergeCell ref="O45:S4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L70"/>
  <sheetViews>
    <sheetView showGridLines="0" workbookViewId="0">
      <selection activeCell="H6" sqref="H6"/>
    </sheetView>
  </sheetViews>
  <sheetFormatPr defaultRowHeight="15"/>
  <cols>
    <col min="2" max="2" width="11.140625" customWidth="1"/>
    <col min="6" max="6" width="10.140625" customWidth="1"/>
    <col min="8" max="8" width="12.7109375" customWidth="1"/>
    <col min="9" max="9" width="12.85546875" customWidth="1"/>
    <col min="10" max="10" width="16.28515625" customWidth="1"/>
    <col min="11" max="11" width="14.7109375" customWidth="1"/>
    <col min="12" max="12" width="12.28515625" customWidth="1"/>
  </cols>
  <sheetData>
    <row r="3" spans="2:12">
      <c r="B3" s="75" t="s">
        <v>1</v>
      </c>
      <c r="C3" s="75"/>
      <c r="D3" s="75"/>
      <c r="E3" s="75"/>
      <c r="F3" s="75"/>
    </row>
    <row r="4" spans="2:12">
      <c r="B4" s="75"/>
      <c r="C4" s="75"/>
      <c r="D4" s="75"/>
      <c r="E4" s="75"/>
      <c r="F4" s="75"/>
    </row>
    <row r="5" spans="2:12">
      <c r="B5" s="75"/>
      <c r="C5" s="75"/>
      <c r="D5" s="75"/>
      <c r="E5" s="75"/>
      <c r="F5" s="75"/>
    </row>
    <row r="6" spans="2:12">
      <c r="B6" s="12"/>
      <c r="C6" s="14" t="s">
        <v>3</v>
      </c>
      <c r="D6" s="14" t="s">
        <v>4</v>
      </c>
      <c r="E6" s="14" t="s">
        <v>5</v>
      </c>
      <c r="F6" s="14" t="s">
        <v>6</v>
      </c>
    </row>
    <row r="7" spans="2:12">
      <c r="B7" s="16" t="s">
        <v>10</v>
      </c>
      <c r="C7" s="74" t="s">
        <v>19</v>
      </c>
      <c r="D7" s="74" t="str">
        <f>C7</f>
        <v>Adj. close</v>
      </c>
      <c r="E7" s="74" t="str">
        <f>C7</f>
        <v>Adj. close</v>
      </c>
      <c r="F7" s="74" t="str">
        <f>D7</f>
        <v>Adj. close</v>
      </c>
    </row>
    <row r="8" spans="2:12">
      <c r="B8" s="2"/>
    </row>
    <row r="9" spans="2:12">
      <c r="B9" s="72">
        <f>'Apple Stock'!D10</f>
        <v>44964</v>
      </c>
      <c r="C9" s="73">
        <f>'Apple Stock'!I10</f>
        <v>154.41423034667901</v>
      </c>
      <c r="D9" s="73">
        <f>'Netflix Stock'!I6</f>
        <v>362.95001220703102</v>
      </c>
      <c r="E9" s="73">
        <f>'Microsoft Stock'!I6</f>
        <v>266.891510009765</v>
      </c>
      <c r="F9" s="73">
        <f>'Google Stock'!I6</f>
        <v>108.040000915527</v>
      </c>
      <c r="H9" s="3"/>
      <c r="I9" s="18" t="s">
        <v>20</v>
      </c>
      <c r="J9" s="18"/>
      <c r="K9" s="18"/>
      <c r="L9" s="3"/>
    </row>
    <row r="10" spans="2:12" ht="15.75" thickBot="1">
      <c r="B10" s="72">
        <f>'Apple Stock'!D11</f>
        <v>44965</v>
      </c>
      <c r="C10" s="73">
        <f>'Apple Stock'!I11</f>
        <v>151.68840026855401</v>
      </c>
      <c r="D10" s="73">
        <f>'Netflix Stock'!I7</f>
        <v>366.829986572265</v>
      </c>
      <c r="E10" s="73">
        <f>'Microsoft Stock'!I7</f>
        <v>266.06359863281199</v>
      </c>
      <c r="F10" s="73">
        <f>'Google Stock'!I7</f>
        <v>100</v>
      </c>
    </row>
    <row r="11" spans="2:12">
      <c r="B11" s="72">
        <f>'Apple Stock'!D12</f>
        <v>44966</v>
      </c>
      <c r="C11" s="73">
        <f>'Apple Stock'!I12</f>
        <v>150.63999938964801</v>
      </c>
      <c r="D11" s="73">
        <f>'Netflix Stock'!I8</f>
        <v>362.5</v>
      </c>
      <c r="E11" s="73">
        <f>'Microsoft Stock'!I8</f>
        <v>262.96136474609301</v>
      </c>
      <c r="F11" s="73">
        <f>'Google Stock'!I8</f>
        <v>95.459999084472599</v>
      </c>
      <c r="H11" s="23"/>
      <c r="I11" s="23" t="s">
        <v>3</v>
      </c>
      <c r="J11" s="23" t="s">
        <v>4</v>
      </c>
      <c r="K11" s="23" t="s">
        <v>5</v>
      </c>
      <c r="L11" s="23" t="s">
        <v>6</v>
      </c>
    </row>
    <row r="12" spans="2:12">
      <c r="B12" s="72">
        <f>'Apple Stock'!D13</f>
        <v>44967</v>
      </c>
      <c r="C12" s="73">
        <f>'Apple Stock'!I13</f>
        <v>151.009994506835</v>
      </c>
      <c r="D12" s="73">
        <f>'Netflix Stock'!I9</f>
        <v>347.35998535156199</v>
      </c>
      <c r="E12" s="73">
        <f>'Microsoft Stock'!I9</f>
        <v>262.44265747070301</v>
      </c>
      <c r="F12" s="73">
        <f>'Google Stock'!I9</f>
        <v>94.860000610351506</v>
      </c>
      <c r="H12" s="25" t="s">
        <v>3</v>
      </c>
      <c r="I12" s="26">
        <v>1</v>
      </c>
      <c r="J12" s="27"/>
      <c r="K12" s="27"/>
      <c r="L12" s="27"/>
    </row>
    <row r="13" spans="2:12">
      <c r="B13" s="72">
        <f>'Apple Stock'!D14</f>
        <v>44970</v>
      </c>
      <c r="C13" s="73">
        <f>'Apple Stock'!I14</f>
        <v>153.850006103515</v>
      </c>
      <c r="D13" s="73">
        <f>'Netflix Stock'!I10</f>
        <v>358.57000732421801</v>
      </c>
      <c r="E13" s="73">
        <f>'Microsoft Stock'!I10</f>
        <v>270.64212036132801</v>
      </c>
      <c r="F13" s="73">
        <f>'Google Stock'!I10</f>
        <v>95</v>
      </c>
      <c r="H13" s="25" t="s">
        <v>4</v>
      </c>
      <c r="I13" s="30">
        <v>7.151076084706022E-2</v>
      </c>
      <c r="J13" s="26">
        <v>1</v>
      </c>
      <c r="K13" s="27"/>
      <c r="L13" s="27"/>
    </row>
    <row r="14" spans="2:12">
      <c r="B14" s="72">
        <f>'Apple Stock'!D15</f>
        <v>44971</v>
      </c>
      <c r="C14" s="73">
        <f>'Apple Stock'!I15</f>
        <v>153.19999694824199</v>
      </c>
      <c r="D14" s="73">
        <f>'Netflix Stock'!I11</f>
        <v>359.95999145507801</v>
      </c>
      <c r="E14" s="73">
        <f>'Microsoft Stock'!I11</f>
        <v>271.49002075195301</v>
      </c>
      <c r="F14" s="73">
        <f>'Google Stock'!I11</f>
        <v>94.949996948242102</v>
      </c>
      <c r="H14" s="25" t="s">
        <v>5</v>
      </c>
      <c r="I14" s="30">
        <v>6.700983852410565E-2</v>
      </c>
      <c r="J14" s="30">
        <v>0.20568071232873664</v>
      </c>
      <c r="K14" s="26">
        <v>1</v>
      </c>
      <c r="L14" s="27"/>
    </row>
    <row r="15" spans="2:12" ht="15.75" thickBot="1">
      <c r="B15" s="72">
        <f>'Apple Stock'!D16</f>
        <v>44972</v>
      </c>
      <c r="C15" s="73">
        <f>'Apple Stock'!I16</f>
        <v>155.33000183105401</v>
      </c>
      <c r="D15" s="73">
        <f>'Netflix Stock'!I12</f>
        <v>361.42001342773398</v>
      </c>
      <c r="E15" s="73">
        <f>'Microsoft Stock'!I12</f>
        <v>269.32000732421801</v>
      </c>
      <c r="F15" s="73">
        <f>'Google Stock'!I12</f>
        <v>97.099998474121094</v>
      </c>
      <c r="H15" s="31" t="s">
        <v>6</v>
      </c>
      <c r="I15" s="32">
        <v>0.19259823379209326</v>
      </c>
      <c r="J15" s="32">
        <v>0.17078068639692751</v>
      </c>
      <c r="K15" s="32">
        <v>0.90568531156835141</v>
      </c>
      <c r="L15" s="33">
        <v>1</v>
      </c>
    </row>
    <row r="16" spans="2:12">
      <c r="B16" s="72">
        <f>'Apple Stock'!D17</f>
        <v>44973</v>
      </c>
      <c r="C16" s="73">
        <f>'Apple Stock'!I17</f>
        <v>153.71000671386699</v>
      </c>
      <c r="D16" s="73">
        <f>'Netflix Stock'!I13</f>
        <v>350.70999145507801</v>
      </c>
      <c r="E16" s="73">
        <f>'Microsoft Stock'!I13</f>
        <v>262.14999389648398</v>
      </c>
      <c r="F16" s="73">
        <f>'Google Stock'!I13</f>
        <v>95.779998779296804</v>
      </c>
    </row>
    <row r="17" spans="2:10">
      <c r="B17" s="72">
        <f>'Apple Stock'!D18</f>
        <v>44974</v>
      </c>
      <c r="C17" s="73">
        <f>'Apple Stock'!I18</f>
        <v>152.55000305175699</v>
      </c>
      <c r="D17" s="73">
        <f>'Netflix Stock'!I14</f>
        <v>347.95999145507801</v>
      </c>
      <c r="E17" s="73">
        <f>'Microsoft Stock'!I14</f>
        <v>258.05999755859301</v>
      </c>
      <c r="F17" s="73">
        <f>'Google Stock'!I14</f>
        <v>94.589996337890597</v>
      </c>
    </row>
    <row r="18" spans="2:10">
      <c r="B18" s="72">
        <f>'Apple Stock'!D19</f>
        <v>44978</v>
      </c>
      <c r="C18" s="73">
        <f>'Apple Stock'!I19</f>
        <v>148.47999572753901</v>
      </c>
      <c r="D18" s="73">
        <f>'Netflix Stock'!I15</f>
        <v>337.5</v>
      </c>
      <c r="E18" s="73">
        <f>'Microsoft Stock'!I15</f>
        <v>252.669998168945</v>
      </c>
      <c r="F18" s="73">
        <f>'Google Stock'!I15</f>
        <v>92.050003051757798</v>
      </c>
      <c r="I18" s="34" t="s">
        <v>24</v>
      </c>
      <c r="J18" s="34"/>
    </row>
    <row r="19" spans="2:10">
      <c r="B19" s="72">
        <f>'Apple Stock'!D20</f>
        <v>44979</v>
      </c>
      <c r="C19" s="73">
        <f>'Apple Stock'!I20</f>
        <v>148.91000366210901</v>
      </c>
      <c r="D19" s="73">
        <f>'Netflix Stock'!I16</f>
        <v>334.88000488281199</v>
      </c>
      <c r="E19" s="73">
        <f>'Microsoft Stock'!I16</f>
        <v>251.509994506835</v>
      </c>
      <c r="F19" s="73">
        <f>'Google Stock'!I16</f>
        <v>91.800003051757798</v>
      </c>
      <c r="I19" s="34" t="s">
        <v>25</v>
      </c>
      <c r="J19" s="34"/>
    </row>
    <row r="20" spans="2:10">
      <c r="B20" s="72">
        <f>'Apple Stock'!D21</f>
        <v>44980</v>
      </c>
      <c r="C20" s="73">
        <f>'Apple Stock'!I21</f>
        <v>149.39999389648401</v>
      </c>
      <c r="D20" s="73">
        <f>'Netflix Stock'!I17</f>
        <v>323.64999389648398</v>
      </c>
      <c r="E20" s="73">
        <f>'Microsoft Stock'!I17</f>
        <v>254.77000427246</v>
      </c>
      <c r="F20" s="73">
        <f>'Google Stock'!I17</f>
        <v>91.069999694824205</v>
      </c>
    </row>
    <row r="21" spans="2:10">
      <c r="B21" s="72">
        <f>'Apple Stock'!D22</f>
        <v>44981</v>
      </c>
      <c r="C21" s="73">
        <f>'Apple Stock'!I22</f>
        <v>146.71000671386699</v>
      </c>
      <c r="D21" s="73">
        <f>'Netflix Stock'!I18</f>
        <v>317.14999389648398</v>
      </c>
      <c r="E21" s="73">
        <f>'Microsoft Stock'!I18</f>
        <v>249.22000122070301</v>
      </c>
      <c r="F21" s="73">
        <f>'Google Stock'!I18</f>
        <v>89.349998474121094</v>
      </c>
    </row>
    <row r="22" spans="2:10">
      <c r="B22" s="72">
        <f>'Apple Stock'!D23</f>
        <v>44984</v>
      </c>
      <c r="C22" s="73">
        <f>'Apple Stock'!I23</f>
        <v>147.919998168945</v>
      </c>
      <c r="D22" s="73">
        <f>'Netflix Stock'!I19</f>
        <v>323.02999877929602</v>
      </c>
      <c r="E22" s="73">
        <f>'Microsoft Stock'!I19</f>
        <v>250.16000366210901</v>
      </c>
      <c r="F22" s="73">
        <f>'Google Stock'!I19</f>
        <v>90.099998474121094</v>
      </c>
    </row>
    <row r="23" spans="2:10">
      <c r="B23" s="72">
        <f>'Apple Stock'!D24</f>
        <v>44985</v>
      </c>
      <c r="C23" s="73">
        <f>'Apple Stock'!I24</f>
        <v>147.41000366210901</v>
      </c>
      <c r="D23" s="73">
        <f>'Netflix Stock'!I20</f>
        <v>322.13000488281199</v>
      </c>
      <c r="E23" s="73">
        <f>'Microsoft Stock'!I20</f>
        <v>249.419998168945</v>
      </c>
      <c r="F23" s="73">
        <f>'Google Stock'!I20</f>
        <v>90.300003051757798</v>
      </c>
    </row>
    <row r="24" spans="2:10">
      <c r="B24" s="72">
        <f>'Apple Stock'!D25</f>
        <v>44986</v>
      </c>
      <c r="C24" s="73">
        <f>'Apple Stock'!I25</f>
        <v>145.30999755859301</v>
      </c>
      <c r="D24" s="73">
        <f>'Netflix Stock'!I21</f>
        <v>313.48001098632801</v>
      </c>
      <c r="E24" s="73">
        <f>'Microsoft Stock'!I21</f>
        <v>246.27000427246</v>
      </c>
      <c r="F24" s="73">
        <f>'Google Stock'!I21</f>
        <v>90.510002136230398</v>
      </c>
    </row>
    <row r="25" spans="2:10">
      <c r="B25" s="72">
        <f>'Apple Stock'!D26</f>
        <v>44987</v>
      </c>
      <c r="C25" s="73">
        <f>'Apple Stock'!I26</f>
        <v>145.91000366210901</v>
      </c>
      <c r="D25" s="73">
        <f>'Netflix Stock'!I22</f>
        <v>311.88000488281199</v>
      </c>
      <c r="E25" s="73">
        <f>'Microsoft Stock'!I22</f>
        <v>251.11000061035099</v>
      </c>
      <c r="F25" s="73">
        <f>'Google Stock'!I22</f>
        <v>92.309997558593693</v>
      </c>
    </row>
    <row r="26" spans="2:10">
      <c r="B26" s="72">
        <f>'Apple Stock'!D27</f>
        <v>44988</v>
      </c>
      <c r="C26" s="73">
        <f>'Apple Stock'!I27</f>
        <v>151.02999877929599</v>
      </c>
      <c r="D26" s="73">
        <f>'Netflix Stock'!I23</f>
        <v>315.17999267578102</v>
      </c>
      <c r="E26" s="73">
        <f>'Microsoft Stock'!I23</f>
        <v>255.28999328613199</v>
      </c>
      <c r="F26" s="73">
        <f>'Google Stock'!I23</f>
        <v>94.019996643066406</v>
      </c>
    </row>
    <row r="27" spans="2:10">
      <c r="B27" s="72">
        <f>'Apple Stock'!D28</f>
        <v>44991</v>
      </c>
      <c r="C27" s="73">
        <f>'Apple Stock'!I28</f>
        <v>153.83000183105401</v>
      </c>
      <c r="D27" s="73">
        <f>'Netflix Stock'!I24</f>
        <v>312.02999877929602</v>
      </c>
      <c r="E27" s="73">
        <f>'Microsoft Stock'!I24</f>
        <v>256.86999511718699</v>
      </c>
      <c r="F27" s="73">
        <f>'Google Stock'!I24</f>
        <v>95.580001831054602</v>
      </c>
    </row>
    <row r="28" spans="2:10">
      <c r="B28" s="72">
        <f>'Apple Stock'!D29</f>
        <v>44992</v>
      </c>
      <c r="C28" s="73">
        <f>'Apple Stock'!I29</f>
        <v>151.600006103515</v>
      </c>
      <c r="D28" s="73">
        <f>'Netflix Stock'!I25</f>
        <v>308.47000122070301</v>
      </c>
      <c r="E28" s="73">
        <f>'Microsoft Stock'!I25</f>
        <v>254.14999389648401</v>
      </c>
      <c r="F28" s="73">
        <f>'Google Stock'!I25</f>
        <v>94.169998168945298</v>
      </c>
    </row>
    <row r="29" spans="2:10">
      <c r="B29" s="72">
        <f>'Apple Stock'!D30</f>
        <v>44993</v>
      </c>
      <c r="C29" s="73">
        <f>'Apple Stock'!I30</f>
        <v>152.86999511718699</v>
      </c>
      <c r="D29" s="73">
        <f>'Netflix Stock'!I26</f>
        <v>311.79000854492102</v>
      </c>
      <c r="E29" s="73">
        <f>'Microsoft Stock'!I26</f>
        <v>253.69999694824199</v>
      </c>
      <c r="F29" s="73">
        <f>'Google Stock'!I26</f>
        <v>94.650001525878906</v>
      </c>
    </row>
    <row r="30" spans="2:10">
      <c r="B30" s="72">
        <f>'Apple Stock'!D31</f>
        <v>44994</v>
      </c>
      <c r="C30" s="73">
        <f>'Apple Stock'!I31</f>
        <v>150.58999633789</v>
      </c>
      <c r="D30" s="73">
        <f>'Netflix Stock'!I27</f>
        <v>297.77999877929602</v>
      </c>
      <c r="E30" s="73">
        <f>'Microsoft Stock'!I27</f>
        <v>252.32000732421801</v>
      </c>
      <c r="F30" s="73">
        <f>'Google Stock'!I27</f>
        <v>92.660003662109304</v>
      </c>
    </row>
    <row r="31" spans="2:10">
      <c r="B31" s="72">
        <f>'Apple Stock'!D32</f>
        <v>44995</v>
      </c>
      <c r="C31" s="73">
        <f>'Apple Stock'!I32</f>
        <v>148.5</v>
      </c>
      <c r="D31" s="73">
        <f>'Netflix Stock'!I28</f>
        <v>292.760009765625</v>
      </c>
      <c r="E31" s="73">
        <f>'Microsoft Stock'!I28</f>
        <v>248.58999633789</v>
      </c>
      <c r="F31" s="73">
        <f>'Google Stock'!I28</f>
        <v>91.010002136230398</v>
      </c>
    </row>
    <row r="32" spans="2:10">
      <c r="B32" s="72">
        <f>'Apple Stock'!D33</f>
        <v>44998</v>
      </c>
      <c r="C32" s="73">
        <f>'Apple Stock'!I33</f>
        <v>150.47000122070301</v>
      </c>
      <c r="D32" s="73">
        <f>'Netflix Stock'!I29</f>
        <v>293.510009765625</v>
      </c>
      <c r="E32" s="73">
        <f>'Microsoft Stock'!I29</f>
        <v>253.919998168945</v>
      </c>
      <c r="F32" s="73">
        <f>'Google Stock'!I29</f>
        <v>91.660003662109304</v>
      </c>
    </row>
    <row r="33" spans="2:6">
      <c r="B33" s="72">
        <f>'Apple Stock'!D34</f>
        <v>44999</v>
      </c>
      <c r="C33" s="73">
        <f>'Apple Stock'!I34</f>
        <v>152.58999633789</v>
      </c>
      <c r="D33" s="73">
        <f>'Netflix Stock'!I30</f>
        <v>294.94000244140602</v>
      </c>
      <c r="E33" s="73">
        <f>'Microsoft Stock'!I30</f>
        <v>260.79000854492102</v>
      </c>
      <c r="F33" s="73">
        <f>'Google Stock'!I30</f>
        <v>94.25</v>
      </c>
    </row>
    <row r="34" spans="2:6">
      <c r="B34" s="72">
        <f>'Apple Stock'!D35</f>
        <v>45000</v>
      </c>
      <c r="C34" s="73">
        <f>'Apple Stock'!I35</f>
        <v>152.99000549316401</v>
      </c>
      <c r="D34" s="73">
        <f>'Netflix Stock'!I31</f>
        <v>303.79000854492102</v>
      </c>
      <c r="E34" s="73">
        <f>'Microsoft Stock'!I31</f>
        <v>265.44000244140602</v>
      </c>
      <c r="F34" s="73">
        <f>'Google Stock'!I31</f>
        <v>96.550003051757798</v>
      </c>
    </row>
    <row r="35" spans="2:6">
      <c r="B35" s="72">
        <f>'Apple Stock'!D36</f>
        <v>45001</v>
      </c>
      <c r="C35" s="73">
        <f>'Apple Stock'!I36</f>
        <v>155.850006103515</v>
      </c>
      <c r="D35" s="73">
        <f>'Netflix Stock'!I32</f>
        <v>310.05999755859301</v>
      </c>
      <c r="E35" s="73">
        <f>'Microsoft Stock'!I32</f>
        <v>276.20001220703102</v>
      </c>
      <c r="F35" s="73">
        <f>'Google Stock'!I32</f>
        <v>101.06999969482401</v>
      </c>
    </row>
    <row r="36" spans="2:6">
      <c r="B36" s="72">
        <f>'Apple Stock'!D37</f>
        <v>45002</v>
      </c>
      <c r="C36" s="73">
        <f>'Apple Stock'!I37</f>
        <v>155</v>
      </c>
      <c r="D36" s="73">
        <f>'Netflix Stock'!I33</f>
        <v>303.5</v>
      </c>
      <c r="E36" s="73">
        <f>'Microsoft Stock'!I33</f>
        <v>279.42999267578102</v>
      </c>
      <c r="F36" s="73">
        <f>'Google Stock'!I33</f>
        <v>102.459999084472</v>
      </c>
    </row>
    <row r="37" spans="2:6">
      <c r="B37" s="72">
        <f>'Apple Stock'!D38</f>
        <v>45005</v>
      </c>
      <c r="C37" s="73">
        <f>'Apple Stock'!I38</f>
        <v>157.39999389648401</v>
      </c>
      <c r="D37" s="73">
        <f>'Netflix Stock'!I34</f>
        <v>305.13000488281199</v>
      </c>
      <c r="E37" s="73">
        <f>'Microsoft Stock'!I34</f>
        <v>272.23001098632801</v>
      </c>
      <c r="F37" s="73">
        <f>'Google Stock'!I34</f>
        <v>101.930000305175</v>
      </c>
    </row>
    <row r="38" spans="2:6">
      <c r="B38" s="72">
        <f>'Apple Stock'!D39</f>
        <v>45006</v>
      </c>
      <c r="C38" s="73">
        <f>'Apple Stock'!I39</f>
        <v>159.27999877929599</v>
      </c>
      <c r="D38" s="73">
        <f>'Netflix Stock'!I35</f>
        <v>305.79000854492102</v>
      </c>
      <c r="E38" s="73">
        <f>'Microsoft Stock'!I35</f>
        <v>273.77999877929602</v>
      </c>
      <c r="F38" s="73">
        <f>'Google Stock'!I35</f>
        <v>105.83999633789</v>
      </c>
    </row>
    <row r="39" spans="2:6">
      <c r="B39" s="72">
        <f>'Apple Stock'!D40</f>
        <v>45007</v>
      </c>
      <c r="C39" s="73">
        <f>'Apple Stock'!I40</f>
        <v>157.83000183105401</v>
      </c>
      <c r="D39" s="73">
        <f>'Netflix Stock'!I36</f>
        <v>293.89999389648398</v>
      </c>
      <c r="E39" s="73">
        <f>'Microsoft Stock'!I36</f>
        <v>272.29000854492102</v>
      </c>
      <c r="F39" s="73">
        <f>'Google Stock'!I36</f>
        <v>104.220001220703</v>
      </c>
    </row>
    <row r="40" spans="2:6">
      <c r="B40" s="72">
        <f>'Apple Stock'!D41</f>
        <v>45008</v>
      </c>
      <c r="C40" s="73">
        <f>'Apple Stock'!I41</f>
        <v>158.92999267578099</v>
      </c>
      <c r="D40" s="73">
        <f>'Netflix Stock'!I37</f>
        <v>320.36999511718699</v>
      </c>
      <c r="E40" s="73">
        <f>'Microsoft Stock'!I37</f>
        <v>277.66000366210898</v>
      </c>
      <c r="F40" s="73">
        <f>'Google Stock'!I37</f>
        <v>106.26000213623</v>
      </c>
    </row>
    <row r="41" spans="2:6">
      <c r="B41" s="72">
        <f>'Apple Stock'!D42</f>
        <v>45009</v>
      </c>
      <c r="C41" s="73">
        <f>'Apple Stock'!I42</f>
        <v>160.25</v>
      </c>
      <c r="D41" s="73">
        <f>'Netflix Stock'!I38</f>
        <v>328.39001464843699</v>
      </c>
      <c r="E41" s="73">
        <f>'Microsoft Stock'!I38</f>
        <v>280.57000732421801</v>
      </c>
      <c r="F41" s="73">
        <f>'Google Stock'!I38</f>
        <v>106.059997558593</v>
      </c>
    </row>
    <row r="42" spans="2:6">
      <c r="B42" s="72">
        <f>'Apple Stock'!D43</f>
        <v>45012</v>
      </c>
      <c r="C42" s="73">
        <f>'Apple Stock'!I43</f>
        <v>158.27999877929599</v>
      </c>
      <c r="D42" s="73">
        <f>'Netflix Stock'!I39</f>
        <v>327.66000366210898</v>
      </c>
      <c r="E42" s="73">
        <f>'Microsoft Stock'!I39</f>
        <v>276.38000488281199</v>
      </c>
      <c r="F42" s="73">
        <f>'Google Stock'!I39</f>
        <v>103.059997558593</v>
      </c>
    </row>
    <row r="43" spans="2:6">
      <c r="B43" s="72">
        <f>'Apple Stock'!D44</f>
        <v>45013</v>
      </c>
      <c r="C43" s="73">
        <f>'Apple Stock'!I44</f>
        <v>157.64999389648401</v>
      </c>
      <c r="D43" s="73">
        <f>'Netflix Stock'!I40</f>
        <v>323.51998901367102</v>
      </c>
      <c r="E43" s="73">
        <f>'Microsoft Stock'!I40</f>
        <v>275.23001098632801</v>
      </c>
      <c r="F43" s="73">
        <f>'Google Stock'!I40</f>
        <v>101.36000061035099</v>
      </c>
    </row>
    <row r="44" spans="2:6">
      <c r="B44" s="72">
        <f>'Apple Stock'!D45</f>
        <v>45014</v>
      </c>
      <c r="C44" s="73">
        <f>'Apple Stock'!I45</f>
        <v>160.77000427246</v>
      </c>
      <c r="D44" s="73">
        <f>'Netflix Stock'!I41</f>
        <v>332.02999877929602</v>
      </c>
      <c r="E44" s="73">
        <f>'Microsoft Stock'!I41</f>
        <v>280.510009765625</v>
      </c>
      <c r="F44" s="73">
        <f>'Google Stock'!I41</f>
        <v>101.900001525878</v>
      </c>
    </row>
    <row r="45" spans="2:6">
      <c r="B45" s="72">
        <f>'Apple Stock'!D46</f>
        <v>45015</v>
      </c>
      <c r="C45" s="73">
        <f>'Apple Stock'!I46</f>
        <v>162.36000061035099</v>
      </c>
      <c r="D45" s="73">
        <f>'Netflix Stock'!I42</f>
        <v>338.42999267578102</v>
      </c>
      <c r="E45" s="73">
        <f>'Microsoft Stock'!I42</f>
        <v>284.04998779296801</v>
      </c>
      <c r="F45" s="73">
        <f>'Google Stock'!I42</f>
        <v>101.31999969482401</v>
      </c>
    </row>
    <row r="46" spans="2:6">
      <c r="B46" s="72">
        <f>'Apple Stock'!D47</f>
        <v>45016</v>
      </c>
      <c r="C46" s="73">
        <f>'Apple Stock'!I47</f>
        <v>164.89999389648401</v>
      </c>
      <c r="D46" s="73">
        <f>'Netflix Stock'!I43</f>
        <v>345.48001098632801</v>
      </c>
      <c r="E46" s="73">
        <f>'Microsoft Stock'!I43</f>
        <v>288.29998779296801</v>
      </c>
      <c r="F46" s="73">
        <f>'Google Stock'!I43</f>
        <v>104</v>
      </c>
    </row>
    <row r="47" spans="2:6">
      <c r="B47" s="72">
        <f>'Apple Stock'!D48</f>
        <v>45019</v>
      </c>
      <c r="C47" s="73">
        <f>'Apple Stock'!I48</f>
        <v>166.169998168945</v>
      </c>
      <c r="D47" s="73">
        <f>'Netflix Stock'!I44</f>
        <v>348.27999877929602</v>
      </c>
      <c r="E47" s="73">
        <f>'Microsoft Stock'!I44</f>
        <v>287.23001098632801</v>
      </c>
      <c r="F47" s="73">
        <f>'Google Stock'!I44</f>
        <v>104.91000366210901</v>
      </c>
    </row>
    <row r="48" spans="2:6">
      <c r="B48" s="72">
        <f>'Apple Stock'!D49</f>
        <v>45020</v>
      </c>
      <c r="C48" s="73">
        <f>'Apple Stock'!I49</f>
        <v>165.63000488281199</v>
      </c>
      <c r="D48" s="73">
        <f>'Netflix Stock'!I45</f>
        <v>346.75</v>
      </c>
      <c r="E48" s="73">
        <f>'Microsoft Stock'!I45</f>
        <v>287.17999267578102</v>
      </c>
      <c r="F48" s="73">
        <f>'Google Stock'!I45</f>
        <v>105.120002746582</v>
      </c>
    </row>
    <row r="49" spans="2:6">
      <c r="B49" s="72">
        <f>'Apple Stock'!D50</f>
        <v>45021</v>
      </c>
      <c r="C49" s="73">
        <f>'Apple Stock'!I50</f>
        <v>163.759994506835</v>
      </c>
      <c r="D49" s="73">
        <f>'Netflix Stock'!I46</f>
        <v>342.350006103515</v>
      </c>
      <c r="E49" s="73">
        <f>'Microsoft Stock'!I46</f>
        <v>284.33999633789</v>
      </c>
      <c r="F49" s="73">
        <f>'Google Stock'!I46</f>
        <v>104.949996948242</v>
      </c>
    </row>
    <row r="50" spans="2:6">
      <c r="B50" s="72">
        <f>'Apple Stock'!D51</f>
        <v>45022</v>
      </c>
      <c r="C50" s="73">
        <f>'Apple Stock'!I51</f>
        <v>164.66000366210901</v>
      </c>
      <c r="D50" s="73">
        <f>'Netflix Stock'!I47</f>
        <v>339.329986572265</v>
      </c>
      <c r="E50" s="73">
        <f>'Microsoft Stock'!I47</f>
        <v>291.600006103515</v>
      </c>
      <c r="F50" s="73">
        <f>'Google Stock'!I47</f>
        <v>108.900001525878</v>
      </c>
    </row>
    <row r="51" spans="2:6">
      <c r="B51" s="72">
        <f>'Apple Stock'!D52</f>
        <v>45026</v>
      </c>
      <c r="C51" s="73">
        <f>'Apple Stock'!I52</f>
        <v>162.02999877929599</v>
      </c>
      <c r="D51" s="73">
        <f>'Netflix Stock'!I48</f>
        <v>338.989990234375</v>
      </c>
      <c r="E51" s="73">
        <f>'Microsoft Stock'!I48</f>
        <v>289.39001464843699</v>
      </c>
      <c r="F51" s="73">
        <f>'Google Stock'!I48</f>
        <v>106.949996948242</v>
      </c>
    </row>
    <row r="52" spans="2:6">
      <c r="B52" s="72">
        <f>'Apple Stock'!D53</f>
        <v>45027</v>
      </c>
      <c r="C52" s="73">
        <f>'Apple Stock'!I53</f>
        <v>160.80000305175699</v>
      </c>
      <c r="D52" s="73">
        <f>'Netflix Stock'!I49</f>
        <v>338.20999145507801</v>
      </c>
      <c r="E52" s="73">
        <f>'Microsoft Stock'!I49</f>
        <v>282.829986572265</v>
      </c>
      <c r="F52" s="73">
        <f>'Google Stock'!I49</f>
        <v>106.120002746582</v>
      </c>
    </row>
    <row r="53" spans="2:6">
      <c r="B53" s="72">
        <f>'Apple Stock'!D54</f>
        <v>45028</v>
      </c>
      <c r="C53" s="73">
        <f>'Apple Stock'!I54</f>
        <v>160.100006103515</v>
      </c>
      <c r="D53" s="73">
        <f>'Netflix Stock'!I50</f>
        <v>331.02999877929602</v>
      </c>
      <c r="E53" s="73">
        <f>'Microsoft Stock'!I50</f>
        <v>283.489990234375</v>
      </c>
      <c r="F53" s="73">
        <f>'Google Stock'!I50</f>
        <v>105.220001220703</v>
      </c>
    </row>
    <row r="54" spans="2:6">
      <c r="B54" s="72">
        <f>'Apple Stock'!D55</f>
        <v>45029</v>
      </c>
      <c r="C54" s="73">
        <f>'Apple Stock'!I55</f>
        <v>165.55999755859301</v>
      </c>
      <c r="D54" s="73">
        <f>'Netflix Stock'!I51</f>
        <v>346.19000244140602</v>
      </c>
      <c r="E54" s="73">
        <f>'Microsoft Stock'!I51</f>
        <v>289.83999633789</v>
      </c>
      <c r="F54" s="73">
        <f>'Google Stock'!I51</f>
        <v>108.19000244140599</v>
      </c>
    </row>
    <row r="55" spans="2:6">
      <c r="B55" s="72">
        <f>'Apple Stock'!D56</f>
        <v>45030</v>
      </c>
      <c r="C55" s="73">
        <f>'Apple Stock'!I56</f>
        <v>165.21000671386699</v>
      </c>
      <c r="D55" s="73">
        <f>'Netflix Stock'!I52</f>
        <v>338.63000488281199</v>
      </c>
      <c r="E55" s="73">
        <f>'Microsoft Stock'!I52</f>
        <v>286.14001464843699</v>
      </c>
      <c r="F55" s="73">
        <f>'Google Stock'!I52</f>
        <v>109.459999084472</v>
      </c>
    </row>
    <row r="56" spans="2:6">
      <c r="B56" s="72">
        <f>'Apple Stock'!D57</f>
        <v>45033</v>
      </c>
      <c r="C56" s="73">
        <f>'Apple Stock'!I57</f>
        <v>165.22999572753901</v>
      </c>
      <c r="D56" s="73">
        <f>'Netflix Stock'!I53</f>
        <v>332.72000122070301</v>
      </c>
      <c r="E56" s="73">
        <f>'Microsoft Stock'!I53</f>
        <v>288.79998779296801</v>
      </c>
      <c r="F56" s="73">
        <f>'Google Stock'!I53</f>
        <v>106.419998168945</v>
      </c>
    </row>
    <row r="57" spans="2:6">
      <c r="B57" s="72">
        <f>'Apple Stock'!D58</f>
        <v>45034</v>
      </c>
      <c r="C57" s="73">
        <f>'Apple Stock'!I58</f>
        <v>166.47000122070301</v>
      </c>
      <c r="D57" s="73">
        <f>'Netflix Stock'!I54</f>
        <v>333.70001220703102</v>
      </c>
      <c r="E57" s="73">
        <f>'Microsoft Stock'!I54</f>
        <v>288.36999511718699</v>
      </c>
      <c r="F57" s="73">
        <f>'Google Stock'!I54</f>
        <v>105.120002746582</v>
      </c>
    </row>
    <row r="58" spans="2:6">
      <c r="B58" s="72">
        <f>'Apple Stock'!D59</f>
        <v>45035</v>
      </c>
      <c r="C58" s="73">
        <f>'Apple Stock'!I59</f>
        <v>167.63000488281199</v>
      </c>
      <c r="D58" s="73">
        <f>'Netflix Stock'!I55</f>
        <v>323.11999511718699</v>
      </c>
      <c r="E58" s="73">
        <f>'Microsoft Stock'!I55</f>
        <v>288.45001220703102</v>
      </c>
      <c r="F58" s="73">
        <f>'Google Stock'!I55</f>
        <v>105.01999664306599</v>
      </c>
    </row>
    <row r="59" spans="2:6">
      <c r="B59" s="72">
        <f>'Apple Stock'!D60</f>
        <v>45036</v>
      </c>
      <c r="C59" s="73">
        <f>'Apple Stock'!I60</f>
        <v>166.64999389648401</v>
      </c>
      <c r="D59" s="73">
        <f>'Netflix Stock'!I56</f>
        <v>325.350006103515</v>
      </c>
      <c r="E59" s="73">
        <f>'Microsoft Stock'!I56</f>
        <v>286.10998535156199</v>
      </c>
      <c r="F59" s="73">
        <f>'Google Stock'!I56</f>
        <v>105.900001525878</v>
      </c>
    </row>
    <row r="60" spans="2:6">
      <c r="B60" s="72">
        <f>'Apple Stock'!D61</f>
        <v>45037</v>
      </c>
      <c r="C60" s="73">
        <f>'Apple Stock'!I61</f>
        <v>165.02000427246</v>
      </c>
      <c r="D60" s="73">
        <f>'Netflix Stock'!I57</f>
        <v>327.98001098632801</v>
      </c>
      <c r="E60" s="73">
        <f>'Microsoft Stock'!I57</f>
        <v>285.760009765625</v>
      </c>
      <c r="F60" s="73">
        <f>'Google Stock'!I57</f>
        <v>105.91000366210901</v>
      </c>
    </row>
    <row r="61" spans="2:6">
      <c r="B61" s="72">
        <f>'Apple Stock'!D62</f>
        <v>45040</v>
      </c>
      <c r="C61" s="73">
        <f>'Apple Stock'!I62</f>
        <v>165.33000183105401</v>
      </c>
      <c r="D61" s="73">
        <f>'Netflix Stock'!I58</f>
        <v>329.01998901367102</v>
      </c>
      <c r="E61" s="73">
        <f>'Microsoft Stock'!I58</f>
        <v>281.76998901367102</v>
      </c>
      <c r="F61" s="73">
        <f>'Google Stock'!I58</f>
        <v>106.77999877929599</v>
      </c>
    </row>
    <row r="62" spans="2:6">
      <c r="B62" s="72">
        <f>'Apple Stock'!D63</f>
        <v>45041</v>
      </c>
      <c r="C62" s="73">
        <f>'Apple Stock'!I63</f>
        <v>163.77000427246</v>
      </c>
      <c r="D62" s="73">
        <f>'Netflix Stock'!I59</f>
        <v>322.54998779296801</v>
      </c>
      <c r="E62" s="73">
        <f>'Microsoft Stock'!I59</f>
        <v>275.42001342773398</v>
      </c>
      <c r="F62" s="73">
        <f>'Google Stock'!I59</f>
        <v>104.61000061035099</v>
      </c>
    </row>
    <row r="63" spans="2:6">
      <c r="B63" s="72">
        <f>'Apple Stock'!D64</f>
        <v>45042</v>
      </c>
      <c r="C63" s="73">
        <f>'Apple Stock'!I64</f>
        <v>163.759994506835</v>
      </c>
      <c r="D63" s="73">
        <f>'Netflix Stock'!I60</f>
        <v>321.14999389648398</v>
      </c>
      <c r="E63" s="73">
        <f>'Microsoft Stock'!I60</f>
        <v>295.36999511718699</v>
      </c>
      <c r="F63" s="73">
        <f>'Google Stock'!I60</f>
        <v>104.449996948242</v>
      </c>
    </row>
    <row r="64" spans="2:6">
      <c r="B64" s="72">
        <f>'Apple Stock'!D65</f>
        <v>45043</v>
      </c>
      <c r="C64" s="73">
        <f>'Apple Stock'!I65</f>
        <v>168.41000366210901</v>
      </c>
      <c r="D64" s="73">
        <f>'Netflix Stock'!I61</f>
        <v>325.850006103515</v>
      </c>
      <c r="E64" s="73">
        <f>'Microsoft Stock'!I61</f>
        <v>304.829986572265</v>
      </c>
      <c r="F64" s="73">
        <f>'Google Stock'!I61</f>
        <v>108.370002746582</v>
      </c>
    </row>
    <row r="65" spans="2:6">
      <c r="B65" s="72">
        <f>'Apple Stock'!D66</f>
        <v>45044</v>
      </c>
      <c r="C65" s="73">
        <f>'Apple Stock'!I66</f>
        <v>169.67999267578099</v>
      </c>
      <c r="D65" s="73">
        <f>'Netflix Stock'!I62</f>
        <v>329.92999267578102</v>
      </c>
      <c r="E65" s="73">
        <f>'Microsoft Stock'!I62</f>
        <v>307.260009765625</v>
      </c>
      <c r="F65" s="73">
        <f>'Google Stock'!I62</f>
        <v>108.220001220703</v>
      </c>
    </row>
    <row r="66" spans="2:6">
      <c r="B66" s="72">
        <f>'Apple Stock'!D67</f>
        <v>45047</v>
      </c>
      <c r="C66" s="73">
        <f>'Apple Stock'!I67</f>
        <v>169.58999633789</v>
      </c>
      <c r="D66" s="73">
        <f>'Netflix Stock'!I63</f>
        <v>324.11999511718699</v>
      </c>
      <c r="E66" s="73">
        <f>'Microsoft Stock'!I63</f>
        <v>305.55999755859301</v>
      </c>
      <c r="F66" s="73">
        <f>'Google Stock'!I63</f>
        <v>107.709999084472</v>
      </c>
    </row>
    <row r="67" spans="2:6">
      <c r="B67" s="72">
        <f>'Apple Stock'!D68</f>
        <v>45048</v>
      </c>
      <c r="C67" s="73">
        <f>'Apple Stock'!I68</f>
        <v>168.53999328613199</v>
      </c>
      <c r="D67" s="73">
        <f>'Netflix Stock'!I64</f>
        <v>317.54998779296801</v>
      </c>
      <c r="E67" s="73">
        <f>'Microsoft Stock'!I64</f>
        <v>305.41000366210898</v>
      </c>
      <c r="F67" s="73">
        <f>'Google Stock'!I64</f>
        <v>105.980003356933</v>
      </c>
    </row>
    <row r="68" spans="2:6">
      <c r="B68" s="72">
        <f>'Apple Stock'!D69</f>
        <v>45049</v>
      </c>
      <c r="C68" s="73">
        <f>'Apple Stock'!I69</f>
        <v>167.44999694824199</v>
      </c>
      <c r="D68" s="73">
        <f>'Netflix Stock'!I65</f>
        <v>319.29998779296801</v>
      </c>
      <c r="E68" s="73">
        <f>'Microsoft Stock'!I65</f>
        <v>304.39999389648398</v>
      </c>
      <c r="F68" s="73">
        <f>'Google Stock'!I65</f>
        <v>106.120002746582</v>
      </c>
    </row>
    <row r="69" spans="2:6">
      <c r="B69" s="72">
        <f>'Apple Stock'!D70</f>
        <v>45050</v>
      </c>
      <c r="C69" s="73">
        <f>'Apple Stock'!I70</f>
        <v>165.78999328613199</v>
      </c>
      <c r="D69" s="73">
        <f>'Netflix Stock'!I66</f>
        <v>320.77999877929602</v>
      </c>
      <c r="E69" s="73">
        <f>'Microsoft Stock'!I66</f>
        <v>305.41000366210898</v>
      </c>
      <c r="F69" s="73">
        <f>'Google Stock'!I66</f>
        <v>105.209999084472</v>
      </c>
    </row>
    <row r="70" spans="2:6">
      <c r="B70" s="72">
        <f>'Apple Stock'!D71</f>
        <v>45051</v>
      </c>
      <c r="C70" s="73">
        <f>'Apple Stock'!I71</f>
        <v>173.57000732421801</v>
      </c>
      <c r="D70" s="73">
        <f>'Netflix Stock'!I67</f>
        <v>322.760009765625</v>
      </c>
      <c r="E70" s="73">
        <f>'Microsoft Stock'!I67</f>
        <v>310.64999389648398</v>
      </c>
      <c r="F70" s="73">
        <f>'Google Stock'!I67</f>
        <v>106.21499633789</v>
      </c>
    </row>
  </sheetData>
  <mergeCells count="4">
    <mergeCell ref="I9:K9"/>
    <mergeCell ref="I18:J18"/>
    <mergeCell ref="I19:J19"/>
    <mergeCell ref="B3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3:D10"/>
  <sheetViews>
    <sheetView showGridLines="0" workbookViewId="0">
      <selection activeCell="L7" sqref="L7"/>
    </sheetView>
  </sheetViews>
  <sheetFormatPr defaultRowHeight="15"/>
  <cols>
    <col min="2" max="2" width="13.85546875" customWidth="1"/>
    <col min="4" max="4" width="15.5703125" bestFit="1" customWidth="1"/>
  </cols>
  <sheetData>
    <row r="3" spans="2:4">
      <c r="B3" s="76" t="s">
        <v>7</v>
      </c>
      <c r="C3" s="76"/>
      <c r="D3" s="76"/>
    </row>
    <row r="4" spans="2:4">
      <c r="B4" s="76"/>
      <c r="C4" s="76"/>
      <c r="D4" s="76"/>
    </row>
    <row r="5" spans="2:4">
      <c r="B5" s="17" t="s">
        <v>21</v>
      </c>
      <c r="C5" s="17"/>
      <c r="D5" s="17" t="s">
        <v>22</v>
      </c>
    </row>
    <row r="7" spans="2:4">
      <c r="B7" s="28" t="str">
        <f>'Stock Adjusted Close data'!C6</f>
        <v>AAPL</v>
      </c>
      <c r="C7" s="28"/>
      <c r="D7" s="29">
        <f>AVERAGE('Apple Stock'!J10:J71)</f>
        <v>60282958.064516127</v>
      </c>
    </row>
    <row r="8" spans="2:4">
      <c r="B8" s="28" t="str">
        <f>'Stock Adjusted Close data'!D6</f>
        <v>NSFT</v>
      </c>
      <c r="C8" s="28"/>
      <c r="D8" s="29">
        <f>AVERAGE('Netflix Stock'!J6:J67)</f>
        <v>6471732.2580645159</v>
      </c>
    </row>
    <row r="9" spans="2:4">
      <c r="B9" s="28" t="str">
        <f>'Stock Adjusted Close data'!E6</f>
        <v>MSFT</v>
      </c>
      <c r="C9" s="28"/>
      <c r="D9" s="29">
        <f>AVERAGE('Microsoft Stock'!J6:J67)</f>
        <v>30848353.225806452</v>
      </c>
    </row>
    <row r="10" spans="2:4">
      <c r="B10" s="28" t="str">
        <f>'Stock Adjusted Close data'!F6</f>
        <v>GOOG</v>
      </c>
      <c r="C10" s="28"/>
      <c r="D10" s="29">
        <f>AVERAGE('Google Stock'!J6:J67)</f>
        <v>30725372.580645163</v>
      </c>
    </row>
  </sheetData>
  <mergeCells count="1">
    <mergeCell ref="B3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Apple Stock</vt:lpstr>
      <vt:lpstr>Microsoft Stock</vt:lpstr>
      <vt:lpstr>Netflix Stock</vt:lpstr>
      <vt:lpstr>Google Stock</vt:lpstr>
      <vt:lpstr>Stock Adjusted Close data</vt:lpstr>
      <vt:lpstr>Volume Analysis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Shivalika Singh</dc:creator>
  <cp:lastModifiedBy>Shivalika Singh</cp:lastModifiedBy>
  <dcterms:created xsi:type="dcterms:W3CDTF">2025-12-27T16:14:57Z</dcterms:created>
  <dcterms:modified xsi:type="dcterms:W3CDTF">2025-12-27T17:04:49Z</dcterms:modified>
</cp:coreProperties>
</file>