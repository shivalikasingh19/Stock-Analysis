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tocks project" sheetId="1" r:id="rId1"/>
  </sheets>
  <definedNames>
    <definedName name="_xlnm._FilterDatabase" localSheetId="0" hidden="1">'stocks project'!$C$8:$J$8</definedName>
  </definedNames>
  <calcPr calcId="124519"/>
  <fileRecoveryPr repairLoad="1"/>
</workbook>
</file>

<file path=xl/calcChain.xml><?xml version="1.0" encoding="utf-8"?>
<calcChain xmlns="http://schemas.openxmlformats.org/spreadsheetml/2006/main">
  <c r="K269" i="1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4"/>
  <c r="J74"/>
  <c r="I74"/>
  <c r="H74"/>
  <c r="G74"/>
  <c r="F74"/>
  <c r="E74"/>
  <c r="D74"/>
  <c r="C74"/>
  <c r="B74"/>
  <c r="B140" s="1"/>
  <c r="W71"/>
  <c r="V71"/>
  <c r="U71"/>
  <c r="T71"/>
  <c r="S71"/>
  <c r="W70"/>
  <c r="V70"/>
  <c r="U70"/>
  <c r="T70"/>
  <c r="S70"/>
  <c r="K71"/>
  <c r="W69"/>
  <c r="V69"/>
  <c r="U69"/>
  <c r="T69"/>
  <c r="S69"/>
  <c r="K70"/>
  <c r="W68"/>
  <c r="V68"/>
  <c r="U68"/>
  <c r="T68"/>
  <c r="S68"/>
  <c r="K69"/>
  <c r="W67"/>
  <c r="V67"/>
  <c r="U67"/>
  <c r="T67"/>
  <c r="S67"/>
  <c r="K68"/>
  <c r="W66"/>
  <c r="V66"/>
  <c r="U66"/>
  <c r="T66"/>
  <c r="S66"/>
  <c r="K67"/>
  <c r="W65"/>
  <c r="V65"/>
  <c r="U65"/>
  <c r="T65"/>
  <c r="S65"/>
  <c r="K66"/>
  <c r="W64"/>
  <c r="V64"/>
  <c r="U64"/>
  <c r="T64"/>
  <c r="S64"/>
  <c r="K65"/>
  <c r="W63"/>
  <c r="V63"/>
  <c r="U63"/>
  <c r="T63"/>
  <c r="S63"/>
  <c r="K64"/>
  <c r="W62"/>
  <c r="V62"/>
  <c r="U62"/>
  <c r="T62"/>
  <c r="S62"/>
  <c r="K63"/>
  <c r="W61"/>
  <c r="V61"/>
  <c r="U61"/>
  <c r="T61"/>
  <c r="S61"/>
  <c r="K62"/>
  <c r="W60"/>
  <c r="V60"/>
  <c r="U60"/>
  <c r="T60"/>
  <c r="S60"/>
  <c r="K61"/>
  <c r="W59"/>
  <c r="V59"/>
  <c r="U59"/>
  <c r="T59"/>
  <c r="S59"/>
  <c r="K60"/>
  <c r="W58"/>
  <c r="V58"/>
  <c r="U58"/>
  <c r="T58"/>
  <c r="S58"/>
  <c r="K59"/>
  <c r="W57"/>
  <c r="V57"/>
  <c r="U57"/>
  <c r="T57"/>
  <c r="S57"/>
  <c r="K58"/>
  <c r="W56"/>
  <c r="V56"/>
  <c r="U56"/>
  <c r="T56"/>
  <c r="S56"/>
  <c r="K57"/>
  <c r="W55"/>
  <c r="V55"/>
  <c r="U55"/>
  <c r="T55"/>
  <c r="S55"/>
  <c r="K56"/>
  <c r="W54"/>
  <c r="V54"/>
  <c r="U54"/>
  <c r="T54"/>
  <c r="S54"/>
  <c r="K55"/>
  <c r="W53"/>
  <c r="V53"/>
  <c r="U53"/>
  <c r="T53"/>
  <c r="S53"/>
  <c r="K54"/>
  <c r="W52"/>
  <c r="V52"/>
  <c r="U52"/>
  <c r="T52"/>
  <c r="S52"/>
  <c r="K53"/>
  <c r="W51"/>
  <c r="V51"/>
  <c r="U51"/>
  <c r="T51"/>
  <c r="S51"/>
  <c r="K52"/>
  <c r="W50"/>
  <c r="V50"/>
  <c r="U50"/>
  <c r="T50"/>
  <c r="S50"/>
  <c r="K51"/>
  <c r="W49"/>
  <c r="V49"/>
  <c r="U49"/>
  <c r="T49"/>
  <c r="S49"/>
  <c r="K50"/>
  <c r="W48"/>
  <c r="V48"/>
  <c r="U48"/>
  <c r="T48"/>
  <c r="S48"/>
  <c r="K49"/>
  <c r="W47"/>
  <c r="V47"/>
  <c r="U47"/>
  <c r="T47"/>
  <c r="S47"/>
  <c r="K48"/>
  <c r="W46"/>
  <c r="V46"/>
  <c r="U46"/>
  <c r="T46"/>
  <c r="S46"/>
  <c r="K47"/>
  <c r="W45"/>
  <c r="V45"/>
  <c r="U45"/>
  <c r="T45"/>
  <c r="S45"/>
  <c r="K46"/>
  <c r="W44"/>
  <c r="V44"/>
  <c r="U44"/>
  <c r="T44"/>
  <c r="S44"/>
  <c r="K45"/>
  <c r="W43"/>
  <c r="V43"/>
  <c r="U43"/>
  <c r="T43"/>
  <c r="S43"/>
  <c r="K44"/>
  <c r="W42"/>
  <c r="V42"/>
  <c r="U42"/>
  <c r="T42"/>
  <c r="S42"/>
  <c r="K43"/>
  <c r="W41"/>
  <c r="V41"/>
  <c r="U41"/>
  <c r="T41"/>
  <c r="S41"/>
  <c r="K42"/>
  <c r="W40"/>
  <c r="V40"/>
  <c r="U40"/>
  <c r="T40"/>
  <c r="S40"/>
  <c r="K41"/>
  <c r="W39"/>
  <c r="V39"/>
  <c r="U39"/>
  <c r="T39"/>
  <c r="S39"/>
  <c r="K40"/>
  <c r="W38"/>
  <c r="V38"/>
  <c r="U38"/>
  <c r="T38"/>
  <c r="S38"/>
  <c r="K39"/>
  <c r="W37"/>
  <c r="V37"/>
  <c r="U37"/>
  <c r="T37"/>
  <c r="S37"/>
  <c r="K38"/>
  <c r="W36"/>
  <c r="V36"/>
  <c r="U36"/>
  <c r="T36"/>
  <c r="S36"/>
  <c r="K37"/>
  <c r="W35"/>
  <c r="V35"/>
  <c r="U35"/>
  <c r="T35"/>
  <c r="S35"/>
  <c r="K36"/>
  <c r="W34"/>
  <c r="V34"/>
  <c r="U34"/>
  <c r="T34"/>
  <c r="S34"/>
  <c r="K35"/>
  <c r="W33"/>
  <c r="V33"/>
  <c r="U33"/>
  <c r="T33"/>
  <c r="S33"/>
  <c r="K34"/>
  <c r="W32"/>
  <c r="V32"/>
  <c r="U32"/>
  <c r="T32"/>
  <c r="S32"/>
  <c r="K33"/>
  <c r="W31"/>
  <c r="V31"/>
  <c r="U31"/>
  <c r="T31"/>
  <c r="S31"/>
  <c r="K32"/>
  <c r="W30"/>
  <c r="V30"/>
  <c r="U30"/>
  <c r="T30"/>
  <c r="S30"/>
  <c r="K31"/>
  <c r="W29"/>
  <c r="V29"/>
  <c r="U29"/>
  <c r="T29"/>
  <c r="S29"/>
  <c r="K30"/>
  <c r="W28"/>
  <c r="V28"/>
  <c r="U28"/>
  <c r="T28"/>
  <c r="S28"/>
  <c r="K29"/>
  <c r="W27"/>
  <c r="V27"/>
  <c r="U27"/>
  <c r="T27"/>
  <c r="S27"/>
  <c r="K28"/>
  <c r="W26"/>
  <c r="V26"/>
  <c r="U26"/>
  <c r="T26"/>
  <c r="S26"/>
  <c r="K27"/>
  <c r="W25"/>
  <c r="V25"/>
  <c r="U25"/>
  <c r="T25"/>
  <c r="S25"/>
  <c r="K26"/>
  <c r="W24"/>
  <c r="V24"/>
  <c r="U24"/>
  <c r="T24"/>
  <c r="S24"/>
  <c r="K25"/>
  <c r="W23"/>
  <c r="V23"/>
  <c r="U23"/>
  <c r="T23"/>
  <c r="S23"/>
  <c r="K24"/>
  <c r="W22"/>
  <c r="V22"/>
  <c r="U22"/>
  <c r="T22"/>
  <c r="S22"/>
  <c r="K23"/>
  <c r="W21"/>
  <c r="V21"/>
  <c r="U21"/>
  <c r="T21"/>
  <c r="S21"/>
  <c r="K22"/>
  <c r="W20"/>
  <c r="V20"/>
  <c r="U20"/>
  <c r="T20"/>
  <c r="S20"/>
  <c r="K21"/>
  <c r="W19"/>
  <c r="V19"/>
  <c r="U19"/>
  <c r="T19"/>
  <c r="S19"/>
  <c r="K20"/>
  <c r="W18"/>
  <c r="V18"/>
  <c r="U18"/>
  <c r="T18"/>
  <c r="S18"/>
  <c r="K19"/>
  <c r="W17"/>
  <c r="V17"/>
  <c r="U17"/>
  <c r="T17"/>
  <c r="S17"/>
  <c r="K18"/>
  <c r="W16"/>
  <c r="V16"/>
  <c r="U16"/>
  <c r="T16"/>
  <c r="S16"/>
  <c r="K17"/>
  <c r="W15"/>
  <c r="V15"/>
  <c r="U15"/>
  <c r="T15"/>
  <c r="S15"/>
  <c r="K16"/>
  <c r="AH14"/>
  <c r="AF14"/>
  <c r="W14"/>
  <c r="V14"/>
  <c r="U14"/>
  <c r="T14"/>
  <c r="S14"/>
  <c r="K15"/>
  <c r="AH13"/>
  <c r="AF13"/>
  <c r="W13"/>
  <c r="V13"/>
  <c r="U13"/>
  <c r="T13"/>
  <c r="S13"/>
  <c r="K14"/>
  <c r="AH12"/>
  <c r="AF12"/>
  <c r="W12"/>
  <c r="V12"/>
  <c r="U12"/>
  <c r="T12"/>
  <c r="S12"/>
  <c r="K13"/>
  <c r="AH11"/>
  <c r="AF11"/>
  <c r="W11"/>
  <c r="V11"/>
  <c r="U11"/>
  <c r="T11"/>
  <c r="S11"/>
  <c r="K12"/>
  <c r="W10"/>
  <c r="V10"/>
  <c r="U10"/>
  <c r="T10"/>
  <c r="S10"/>
  <c r="K11"/>
  <c r="V8"/>
  <c r="U8"/>
  <c r="W8" l="1"/>
  <c r="K140"/>
  <c r="J140" s="1"/>
  <c r="I140" s="1"/>
  <c r="H140" s="1"/>
  <c r="G140" s="1"/>
  <c r="F140" s="1"/>
  <c r="E140" s="1"/>
  <c r="D140" s="1"/>
  <c r="C140" s="1"/>
  <c r="K206" l="1"/>
  <c r="J206" s="1"/>
  <c r="I206" s="1"/>
  <c r="H206" s="1"/>
  <c r="G206" s="1"/>
  <c r="F206" s="1"/>
  <c r="E206" s="1"/>
  <c r="D206" s="1"/>
  <c r="C206" s="1"/>
  <c r="B206" s="1"/>
</calcChain>
</file>

<file path=xl/sharedStrings.xml><?xml version="1.0" encoding="utf-8"?>
<sst xmlns="http://schemas.openxmlformats.org/spreadsheetml/2006/main" count="544" uniqueCount="40">
  <si>
    <t>Ticker</t>
  </si>
  <si>
    <t>Date</t>
  </si>
  <si>
    <t>Open</t>
  </si>
  <si>
    <t>High</t>
  </si>
  <si>
    <t>Low</t>
  </si>
  <si>
    <t>Close</t>
  </si>
  <si>
    <t>Adj Close</t>
  </si>
  <si>
    <t>Volume</t>
  </si>
  <si>
    <t>AAPL</t>
  </si>
  <si>
    <t>MSFT</t>
  </si>
  <si>
    <t>NFLX</t>
  </si>
  <si>
    <t>GOOG</t>
  </si>
  <si>
    <t>Daily returns</t>
  </si>
  <si>
    <t>Apple</t>
  </si>
  <si>
    <t>Comp Name</t>
  </si>
  <si>
    <t>Microsoft</t>
  </si>
  <si>
    <t>Netflix</t>
  </si>
  <si>
    <t>Google</t>
  </si>
  <si>
    <t>Daily Returns APPLE</t>
  </si>
  <si>
    <t>Daily Returns MICROSOFT</t>
  </si>
  <si>
    <t>Daily Returns NETFLIX</t>
  </si>
  <si>
    <t>Daily Returns GOOGLE</t>
  </si>
  <si>
    <t>NSFT</t>
  </si>
  <si>
    <t>Adj. close</t>
  </si>
  <si>
    <t>Green = strong positive</t>
  </si>
  <si>
    <t>Red = weak/negative</t>
  </si>
  <si>
    <t>Correlation Matrix of Adjusted close Price</t>
  </si>
  <si>
    <t>Volume Analysis</t>
  </si>
  <si>
    <t>Company</t>
  </si>
  <si>
    <t>Average volume</t>
  </si>
  <si>
    <t>Volume v/s Closing price APPLE</t>
  </si>
  <si>
    <t>Volume v/s Closing Price GOOGLE</t>
  </si>
  <si>
    <t>Volume v/s Closing Price MICROSOFT</t>
  </si>
  <si>
    <t>Volume v/s Closing Price NETFLIX</t>
  </si>
  <si>
    <t>Stocks Analysis</t>
  </si>
  <si>
    <t>Stocks Adjusted Close Data</t>
  </si>
  <si>
    <t>APPLE</t>
  </si>
  <si>
    <t>MICROSOFT</t>
  </si>
  <si>
    <t>NETFLIX</t>
  </si>
  <si>
    <t>Candle Stick Chart Open High Low Close</t>
  </si>
</sst>
</file>

<file path=xl/styles.xml><?xml version="1.0" encoding="utf-8"?>
<styleSheet xmlns="http://schemas.openxmlformats.org/spreadsheetml/2006/main">
  <numFmts count="2">
    <numFmt numFmtId="164" formatCode="[$-409]dd\-mmm\-yy;@"/>
    <numFmt numFmtId="165" formatCode="#,##0.0"/>
  </numFmts>
  <fonts count="24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i/>
      <sz val="11"/>
      <color theme="1"/>
      <name val="Calibri"/>
      <family val="2"/>
    </font>
    <font>
      <b/>
      <sz val="11"/>
      <color theme="1"/>
      <name val="Book Antiqua"/>
      <family val="1"/>
    </font>
    <font>
      <b/>
      <sz val="14"/>
      <color theme="5" tint="-0.499984740745262"/>
      <name val="Book Antiqua"/>
      <family val="1"/>
    </font>
    <font>
      <sz val="12"/>
      <color rgb="FFC00000"/>
      <name val="Book Antiqua"/>
      <family val="1"/>
    </font>
    <font>
      <sz val="11"/>
      <color theme="1"/>
      <name val="Book Antiqua"/>
      <family val="1"/>
    </font>
    <font>
      <sz val="14"/>
      <color theme="1"/>
      <name val="Book Antiqua"/>
      <family val="1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tted">
        <color theme="5" tint="-0.499984740745262"/>
      </top>
      <bottom style="dotted">
        <color theme="5" tint="-0.499984740745262"/>
      </bottom>
      <diagonal/>
    </border>
    <border>
      <left/>
      <right/>
      <top style="medium">
        <color theme="5" tint="-0.499984740745262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2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  <xf numFmtId="0" fontId="13" fillId="34" borderId="0" xfId="0" applyFont="1" applyFill="1"/>
    <xf numFmtId="0" fontId="13" fillId="34" borderId="0" xfId="0" applyFont="1" applyFill="1" applyAlignment="1">
      <alignment horizontal="right"/>
    </xf>
    <xf numFmtId="0" fontId="0" fillId="0" borderId="0" xfId="0" applyAlignment="1">
      <alignment horizontal="left"/>
    </xf>
    <xf numFmtId="0" fontId="13" fillId="35" borderId="0" xfId="0" applyFont="1" applyFill="1" applyAlignment="1">
      <alignment horizontal="right"/>
    </xf>
    <xf numFmtId="0" fontId="13" fillId="0" borderId="0" xfId="0" applyFont="1" applyFill="1" applyAlignment="1">
      <alignment horizontal="right"/>
    </xf>
    <xf numFmtId="0" fontId="0" fillId="0" borderId="0" xfId="0" applyFill="1"/>
    <xf numFmtId="0" fontId="13" fillId="35" borderId="0" xfId="0" applyFont="1" applyFill="1"/>
    <xf numFmtId="0" fontId="13" fillId="0" borderId="0" xfId="0" applyFont="1" applyFill="1"/>
    <xf numFmtId="0" fontId="0" fillId="34" borderId="0" xfId="0" applyFill="1" applyAlignment="1">
      <alignment horizontal="left"/>
    </xf>
    <xf numFmtId="0" fontId="0" fillId="37" borderId="0" xfId="0" applyFill="1"/>
    <xf numFmtId="0" fontId="16" fillId="37" borderId="0" xfId="0" applyFont="1" applyFill="1" applyAlignment="1">
      <alignment horizontal="left"/>
    </xf>
    <xf numFmtId="0" fontId="16" fillId="37" borderId="0" xfId="0" applyFont="1" applyFill="1"/>
    <xf numFmtId="164" fontId="0" fillId="0" borderId="0" xfId="0" applyNumberFormat="1" applyAlignment="1">
      <alignment horizontal="left"/>
    </xf>
    <xf numFmtId="0" fontId="0" fillId="0" borderId="0" xfId="0" applyFill="1" applyAlignment="1">
      <alignment horizontal="left"/>
    </xf>
    <xf numFmtId="0" fontId="18" fillId="39" borderId="11" xfId="0" applyFont="1" applyFill="1" applyBorder="1" applyAlignment="1">
      <alignment horizontal="center"/>
    </xf>
    <xf numFmtId="0" fontId="16" fillId="39" borderId="0" xfId="0" applyFont="1" applyFill="1" applyBorder="1" applyAlignment="1"/>
    <xf numFmtId="0" fontId="16" fillId="39" borderId="10" xfId="0" applyFont="1" applyFill="1" applyBorder="1" applyAlignment="1"/>
    <xf numFmtId="0" fontId="13" fillId="36" borderId="0" xfId="0" applyFont="1" applyFill="1" applyBorder="1" applyAlignment="1"/>
    <xf numFmtId="0" fontId="13" fillId="40" borderId="0" xfId="0" applyFont="1" applyFill="1" applyBorder="1" applyAlignment="1"/>
    <xf numFmtId="0" fontId="13" fillId="38" borderId="0" xfId="0" applyFont="1" applyFill="1" applyBorder="1" applyAlignment="1"/>
    <xf numFmtId="0" fontId="13" fillId="38" borderId="10" xfId="0" applyFont="1" applyFill="1" applyBorder="1" applyAlignment="1"/>
    <xf numFmtId="0" fontId="13" fillId="36" borderId="10" xfId="0" applyFont="1" applyFill="1" applyBorder="1" applyAlignment="1"/>
    <xf numFmtId="0" fontId="0" fillId="0" borderId="12" xfId="0" applyBorder="1"/>
    <xf numFmtId="165" fontId="0" fillId="0" borderId="12" xfId="0" applyNumberFormat="1" applyBorder="1"/>
    <xf numFmtId="164" fontId="13" fillId="35" borderId="0" xfId="0" applyNumberFormat="1" applyFont="1" applyFill="1" applyAlignment="1">
      <alignment horizontal="center"/>
    </xf>
    <xf numFmtId="0" fontId="13" fillId="35" borderId="0" xfId="0" applyFont="1" applyFill="1" applyAlignment="1">
      <alignment horizontal="center"/>
    </xf>
    <xf numFmtId="0" fontId="13" fillId="34" borderId="0" xfId="0" applyFont="1" applyFill="1" applyAlignment="1">
      <alignment horizontal="center"/>
    </xf>
    <xf numFmtId="0" fontId="16" fillId="37" borderId="0" xfId="0" applyFont="1" applyFill="1" applyAlignment="1">
      <alignment horizontal="center"/>
    </xf>
    <xf numFmtId="0" fontId="16" fillId="37" borderId="0" xfId="0" applyFont="1" applyFill="1" applyAlignment="1">
      <alignment horizontal="center" vertical="center"/>
    </xf>
    <xf numFmtId="0" fontId="0" fillId="34" borderId="0" xfId="0" applyFill="1"/>
    <xf numFmtId="0" fontId="19" fillId="33" borderId="0" xfId="0" applyFont="1" applyFill="1" applyAlignment="1">
      <alignment horizontal="center"/>
    </xf>
    <xf numFmtId="0" fontId="20" fillId="34" borderId="0" xfId="0" applyFont="1" applyFill="1" applyAlignment="1">
      <alignment horizontal="center"/>
    </xf>
    <xf numFmtId="0" fontId="20" fillId="37" borderId="0" xfId="0" applyFont="1" applyFill="1" applyAlignment="1">
      <alignment horizontal="center" vertical="center" wrapText="1"/>
    </xf>
    <xf numFmtId="165" fontId="0" fillId="0" borderId="0" xfId="0" applyNumberFormat="1" applyFill="1"/>
    <xf numFmtId="0" fontId="0" fillId="0" borderId="0" xfId="0" applyFill="1" applyAlignment="1">
      <alignment horizontal="right"/>
    </xf>
    <xf numFmtId="164" fontId="0" fillId="0" borderId="0" xfId="0" applyNumberFormat="1" applyFill="1"/>
    <xf numFmtId="164" fontId="0" fillId="0" borderId="0" xfId="0" applyNumberFormat="1" applyFill="1" applyAlignment="1">
      <alignment horizontal="left"/>
    </xf>
    <xf numFmtId="0" fontId="20" fillId="0" borderId="0" xfId="0" applyFont="1" applyFill="1" applyAlignment="1">
      <alignment horizontal="center"/>
    </xf>
    <xf numFmtId="165" fontId="0" fillId="41" borderId="0" xfId="0" applyNumberFormat="1" applyFill="1"/>
    <xf numFmtId="0" fontId="0" fillId="41" borderId="13" xfId="0" applyFill="1" applyBorder="1"/>
    <xf numFmtId="0" fontId="21" fillId="41" borderId="13" xfId="0" applyFont="1" applyFill="1" applyBorder="1" applyAlignment="1">
      <alignment horizontal="right"/>
    </xf>
    <xf numFmtId="0" fontId="0" fillId="41" borderId="13" xfId="0" applyFill="1" applyBorder="1" applyAlignment="1">
      <alignment horizontal="right"/>
    </xf>
    <xf numFmtId="164" fontId="0" fillId="41" borderId="13" xfId="0" applyNumberFormat="1" applyFill="1" applyBorder="1"/>
    <xf numFmtId="165" fontId="22" fillId="41" borderId="13" xfId="0" applyNumberFormat="1" applyFont="1" applyFill="1" applyBorder="1" applyAlignment="1">
      <alignment horizontal="center"/>
    </xf>
    <xf numFmtId="165" fontId="0" fillId="41" borderId="13" xfId="0" applyNumberFormat="1" applyFill="1" applyBorder="1"/>
    <xf numFmtId="165" fontId="21" fillId="41" borderId="13" xfId="0" applyNumberFormat="1" applyFont="1" applyFill="1" applyBorder="1" applyAlignment="1">
      <alignment horizontal="center"/>
    </xf>
    <xf numFmtId="165" fontId="23" fillId="41" borderId="13" xfId="0" applyNumberFormat="1" applyFont="1" applyFill="1" applyBorder="1" applyAlignment="1">
      <alignment horizontal="center"/>
    </xf>
    <xf numFmtId="0" fontId="19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C7A7B0"/>
      <color rgb="FFFF9933"/>
      <color rgb="FFFF66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stacked"/>
        <c:ser>
          <c:idx val="0"/>
          <c:order val="0"/>
          <c:spPr>
            <a:solidFill>
              <a:schemeClr val="accent2">
                <a:lumMod val="50000"/>
              </a:schemeClr>
            </a:solidFill>
          </c:spPr>
          <c:cat>
            <c:numRef>
              <c:f>'stocks project'!$D$11:$D$71</c:f>
              <c:numCache>
                <c:formatCode>[$-409]dd\-mmm\-yy;@</c:formatCode>
                <c:ptCount val="61"/>
                <c:pt idx="0">
                  <c:v>44965</c:v>
                </c:pt>
                <c:pt idx="1">
                  <c:v>44966</c:v>
                </c:pt>
                <c:pt idx="2">
                  <c:v>44967</c:v>
                </c:pt>
                <c:pt idx="3">
                  <c:v>44970</c:v>
                </c:pt>
                <c:pt idx="4">
                  <c:v>44971</c:v>
                </c:pt>
                <c:pt idx="5">
                  <c:v>44972</c:v>
                </c:pt>
                <c:pt idx="6">
                  <c:v>44973</c:v>
                </c:pt>
                <c:pt idx="7">
                  <c:v>44974</c:v>
                </c:pt>
                <c:pt idx="8">
                  <c:v>44978</c:v>
                </c:pt>
                <c:pt idx="9">
                  <c:v>44979</c:v>
                </c:pt>
                <c:pt idx="10">
                  <c:v>44980</c:v>
                </c:pt>
                <c:pt idx="11">
                  <c:v>44981</c:v>
                </c:pt>
                <c:pt idx="12">
                  <c:v>44984</c:v>
                </c:pt>
                <c:pt idx="13">
                  <c:v>44985</c:v>
                </c:pt>
                <c:pt idx="14">
                  <c:v>44986</c:v>
                </c:pt>
                <c:pt idx="15">
                  <c:v>44987</c:v>
                </c:pt>
                <c:pt idx="16">
                  <c:v>44988</c:v>
                </c:pt>
                <c:pt idx="17">
                  <c:v>44991</c:v>
                </c:pt>
                <c:pt idx="18">
                  <c:v>44992</c:v>
                </c:pt>
                <c:pt idx="19">
                  <c:v>44993</c:v>
                </c:pt>
                <c:pt idx="20">
                  <c:v>44994</c:v>
                </c:pt>
                <c:pt idx="21">
                  <c:v>44995</c:v>
                </c:pt>
                <c:pt idx="22">
                  <c:v>44998</c:v>
                </c:pt>
                <c:pt idx="23">
                  <c:v>44999</c:v>
                </c:pt>
                <c:pt idx="24">
                  <c:v>45000</c:v>
                </c:pt>
                <c:pt idx="25">
                  <c:v>45001</c:v>
                </c:pt>
                <c:pt idx="26">
                  <c:v>45002</c:v>
                </c:pt>
                <c:pt idx="27">
                  <c:v>45005</c:v>
                </c:pt>
                <c:pt idx="28">
                  <c:v>45006</c:v>
                </c:pt>
                <c:pt idx="29">
                  <c:v>45007</c:v>
                </c:pt>
                <c:pt idx="30">
                  <c:v>45008</c:v>
                </c:pt>
                <c:pt idx="31">
                  <c:v>45009</c:v>
                </c:pt>
                <c:pt idx="32">
                  <c:v>45012</c:v>
                </c:pt>
                <c:pt idx="33">
                  <c:v>45013</c:v>
                </c:pt>
                <c:pt idx="34">
                  <c:v>45014</c:v>
                </c:pt>
                <c:pt idx="35">
                  <c:v>45015</c:v>
                </c:pt>
                <c:pt idx="36">
                  <c:v>45016</c:v>
                </c:pt>
                <c:pt idx="37">
                  <c:v>45019</c:v>
                </c:pt>
                <c:pt idx="38">
                  <c:v>45020</c:v>
                </c:pt>
                <c:pt idx="39">
                  <c:v>45021</c:v>
                </c:pt>
                <c:pt idx="40">
                  <c:v>45022</c:v>
                </c:pt>
                <c:pt idx="41">
                  <c:v>45026</c:v>
                </c:pt>
                <c:pt idx="42">
                  <c:v>45027</c:v>
                </c:pt>
                <c:pt idx="43">
                  <c:v>45028</c:v>
                </c:pt>
                <c:pt idx="44">
                  <c:v>45029</c:v>
                </c:pt>
                <c:pt idx="45">
                  <c:v>45030</c:v>
                </c:pt>
                <c:pt idx="46">
                  <c:v>45033</c:v>
                </c:pt>
                <c:pt idx="47">
                  <c:v>45034</c:v>
                </c:pt>
                <c:pt idx="48">
                  <c:v>45035</c:v>
                </c:pt>
                <c:pt idx="49">
                  <c:v>45036</c:v>
                </c:pt>
                <c:pt idx="50">
                  <c:v>45037</c:v>
                </c:pt>
                <c:pt idx="51">
                  <c:v>45040</c:v>
                </c:pt>
                <c:pt idx="52">
                  <c:v>45041</c:v>
                </c:pt>
                <c:pt idx="53">
                  <c:v>45042</c:v>
                </c:pt>
                <c:pt idx="54">
                  <c:v>45043</c:v>
                </c:pt>
                <c:pt idx="55">
                  <c:v>45044</c:v>
                </c:pt>
                <c:pt idx="56">
                  <c:v>45047</c:v>
                </c:pt>
                <c:pt idx="57">
                  <c:v>45048</c:v>
                </c:pt>
                <c:pt idx="58">
                  <c:v>45049</c:v>
                </c:pt>
                <c:pt idx="59">
                  <c:v>45050</c:v>
                </c:pt>
                <c:pt idx="60">
                  <c:v>45051</c:v>
                </c:pt>
              </c:numCache>
            </c:numRef>
          </c:cat>
          <c:val>
            <c:numRef>
              <c:f>'stocks project'!$K$11:$K$71</c:f>
              <c:numCache>
                <c:formatCode>#,##0.0</c:formatCode>
                <c:ptCount val="61"/>
                <c:pt idx="0">
                  <c:v>150.68840026855401</c:v>
                </c:pt>
                <c:pt idx="1">
                  <c:v>149.63999938964801</c:v>
                </c:pt>
                <c:pt idx="2">
                  <c:v>150.009994506835</c:v>
                </c:pt>
                <c:pt idx="3">
                  <c:v>152.850006103515</c:v>
                </c:pt>
                <c:pt idx="4">
                  <c:v>152.19999694824199</c:v>
                </c:pt>
                <c:pt idx="5">
                  <c:v>154.33000183105401</c:v>
                </c:pt>
                <c:pt idx="6">
                  <c:v>152.71000671386699</c:v>
                </c:pt>
                <c:pt idx="7">
                  <c:v>151.55000305175699</c:v>
                </c:pt>
                <c:pt idx="8">
                  <c:v>147.47999572753901</c:v>
                </c:pt>
                <c:pt idx="9">
                  <c:v>147.91000366210901</c:v>
                </c:pt>
                <c:pt idx="10">
                  <c:v>148.39999389648401</c:v>
                </c:pt>
                <c:pt idx="11">
                  <c:v>145.71000671386699</c:v>
                </c:pt>
                <c:pt idx="12">
                  <c:v>146.919998168945</c:v>
                </c:pt>
                <c:pt idx="13">
                  <c:v>146.41000366210901</c:v>
                </c:pt>
                <c:pt idx="14">
                  <c:v>144.30999755859301</c:v>
                </c:pt>
                <c:pt idx="15">
                  <c:v>144.91000366210901</c:v>
                </c:pt>
                <c:pt idx="16">
                  <c:v>150.02999877929599</c:v>
                </c:pt>
                <c:pt idx="17">
                  <c:v>152.83000183105401</c:v>
                </c:pt>
                <c:pt idx="18">
                  <c:v>150.600006103515</c:v>
                </c:pt>
                <c:pt idx="19">
                  <c:v>151.86999511718699</c:v>
                </c:pt>
                <c:pt idx="20">
                  <c:v>149.58999633789</c:v>
                </c:pt>
                <c:pt idx="21">
                  <c:v>147.5</c:v>
                </c:pt>
                <c:pt idx="22">
                  <c:v>149.47000122070301</c:v>
                </c:pt>
                <c:pt idx="23">
                  <c:v>151.58999633789</c:v>
                </c:pt>
                <c:pt idx="24">
                  <c:v>151.99000549316401</c:v>
                </c:pt>
                <c:pt idx="25">
                  <c:v>154.850006103515</c:v>
                </c:pt>
                <c:pt idx="26">
                  <c:v>154</c:v>
                </c:pt>
                <c:pt idx="27">
                  <c:v>156.39999389648401</c:v>
                </c:pt>
                <c:pt idx="28">
                  <c:v>158.27999877929599</c:v>
                </c:pt>
                <c:pt idx="29">
                  <c:v>156.83000183105401</c:v>
                </c:pt>
                <c:pt idx="30">
                  <c:v>157.92999267578099</c:v>
                </c:pt>
                <c:pt idx="31">
                  <c:v>159.25</c:v>
                </c:pt>
                <c:pt idx="32">
                  <c:v>157.27999877929599</c:v>
                </c:pt>
                <c:pt idx="33">
                  <c:v>156.64999389648401</c:v>
                </c:pt>
                <c:pt idx="34">
                  <c:v>159.77000427246</c:v>
                </c:pt>
                <c:pt idx="35">
                  <c:v>161.36000061035099</c:v>
                </c:pt>
                <c:pt idx="36">
                  <c:v>163.89999389648401</c:v>
                </c:pt>
                <c:pt idx="37">
                  <c:v>165.169998168945</c:v>
                </c:pt>
                <c:pt idx="38">
                  <c:v>164.63000488281199</c:v>
                </c:pt>
                <c:pt idx="39">
                  <c:v>162.759994506835</c:v>
                </c:pt>
                <c:pt idx="40">
                  <c:v>163.66000366210901</c:v>
                </c:pt>
                <c:pt idx="41">
                  <c:v>161.02999877929599</c:v>
                </c:pt>
                <c:pt idx="42">
                  <c:v>159.80000305175699</c:v>
                </c:pt>
                <c:pt idx="43">
                  <c:v>159.100006103515</c:v>
                </c:pt>
                <c:pt idx="44">
                  <c:v>164.55999755859301</c:v>
                </c:pt>
                <c:pt idx="45">
                  <c:v>164.21000671386699</c:v>
                </c:pt>
                <c:pt idx="46">
                  <c:v>164.22999572753901</c:v>
                </c:pt>
                <c:pt idx="47">
                  <c:v>165.47000122070301</c:v>
                </c:pt>
                <c:pt idx="48">
                  <c:v>166.63000488281199</c:v>
                </c:pt>
                <c:pt idx="49">
                  <c:v>165.64999389648401</c:v>
                </c:pt>
                <c:pt idx="50">
                  <c:v>164.02000427246</c:v>
                </c:pt>
                <c:pt idx="51">
                  <c:v>164.33000183105401</c:v>
                </c:pt>
                <c:pt idx="52">
                  <c:v>162.77000427246</c:v>
                </c:pt>
                <c:pt idx="53">
                  <c:v>162.759994506835</c:v>
                </c:pt>
                <c:pt idx="54">
                  <c:v>167.41000366210901</c:v>
                </c:pt>
                <c:pt idx="55">
                  <c:v>168.67999267578099</c:v>
                </c:pt>
                <c:pt idx="56">
                  <c:v>168.58999633789</c:v>
                </c:pt>
                <c:pt idx="57">
                  <c:v>167.53999328613199</c:v>
                </c:pt>
                <c:pt idx="58">
                  <c:v>166.44999694824199</c:v>
                </c:pt>
                <c:pt idx="59">
                  <c:v>164.78999328613199</c:v>
                </c:pt>
                <c:pt idx="60">
                  <c:v>172.57000732421801</c:v>
                </c:pt>
              </c:numCache>
            </c:numRef>
          </c:val>
        </c:ser>
        <c:overlap val="100"/>
        <c:axId val="124634240"/>
        <c:axId val="124635776"/>
      </c:barChart>
      <c:dateAx>
        <c:axId val="124634240"/>
        <c:scaling>
          <c:orientation val="minMax"/>
        </c:scaling>
        <c:axPos val="b"/>
        <c:numFmt formatCode="[$-409]dd\-mmm\-yy;@" sourceLinked="1"/>
        <c:tickLblPos val="nextTo"/>
        <c:crossAx val="124635776"/>
        <c:crosses val="autoZero"/>
        <c:auto val="1"/>
        <c:lblOffset val="100"/>
      </c:dateAx>
      <c:valAx>
        <c:axId val="124635776"/>
        <c:scaling>
          <c:orientation val="minMax"/>
        </c:scaling>
        <c:axPos val="l"/>
        <c:majorGridlines/>
        <c:numFmt formatCode="#,##0.0" sourceLinked="1"/>
        <c:tickLblPos val="nextTo"/>
        <c:crossAx val="124634240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stacked"/>
        <c:ser>
          <c:idx val="0"/>
          <c:order val="0"/>
          <c:spPr>
            <a:solidFill>
              <a:schemeClr val="accent2">
                <a:lumMod val="50000"/>
              </a:schemeClr>
            </a:solidFill>
          </c:spPr>
          <c:cat>
            <c:numRef>
              <c:f>'stocks project'!$D$77:$D$137</c:f>
              <c:numCache>
                <c:formatCode>[$-409]dd\-mmm\-yy;@</c:formatCode>
                <c:ptCount val="61"/>
                <c:pt idx="0">
                  <c:v>44965</c:v>
                </c:pt>
                <c:pt idx="1">
                  <c:v>44966</c:v>
                </c:pt>
                <c:pt idx="2">
                  <c:v>44967</c:v>
                </c:pt>
                <c:pt idx="3">
                  <c:v>44970</c:v>
                </c:pt>
                <c:pt idx="4">
                  <c:v>44971</c:v>
                </c:pt>
                <c:pt idx="5">
                  <c:v>44972</c:v>
                </c:pt>
                <c:pt idx="6">
                  <c:v>44973</c:v>
                </c:pt>
                <c:pt idx="7">
                  <c:v>44974</c:v>
                </c:pt>
                <c:pt idx="8">
                  <c:v>44978</c:v>
                </c:pt>
                <c:pt idx="9">
                  <c:v>44979</c:v>
                </c:pt>
                <c:pt idx="10">
                  <c:v>44980</c:v>
                </c:pt>
                <c:pt idx="11">
                  <c:v>44981</c:v>
                </c:pt>
                <c:pt idx="12">
                  <c:v>44984</c:v>
                </c:pt>
                <c:pt idx="13">
                  <c:v>44985</c:v>
                </c:pt>
                <c:pt idx="14">
                  <c:v>44986</c:v>
                </c:pt>
                <c:pt idx="15">
                  <c:v>44987</c:v>
                </c:pt>
                <c:pt idx="16">
                  <c:v>44988</c:v>
                </c:pt>
                <c:pt idx="17">
                  <c:v>44991</c:v>
                </c:pt>
                <c:pt idx="18">
                  <c:v>44992</c:v>
                </c:pt>
                <c:pt idx="19">
                  <c:v>44993</c:v>
                </c:pt>
                <c:pt idx="20">
                  <c:v>44994</c:v>
                </c:pt>
                <c:pt idx="21">
                  <c:v>44995</c:v>
                </c:pt>
                <c:pt idx="22">
                  <c:v>44998</c:v>
                </c:pt>
                <c:pt idx="23">
                  <c:v>44999</c:v>
                </c:pt>
                <c:pt idx="24">
                  <c:v>45000</c:v>
                </c:pt>
                <c:pt idx="25">
                  <c:v>45001</c:v>
                </c:pt>
                <c:pt idx="26">
                  <c:v>45002</c:v>
                </c:pt>
                <c:pt idx="27">
                  <c:v>45005</c:v>
                </c:pt>
                <c:pt idx="28">
                  <c:v>45006</c:v>
                </c:pt>
                <c:pt idx="29">
                  <c:v>45007</c:v>
                </c:pt>
                <c:pt idx="30">
                  <c:v>45008</c:v>
                </c:pt>
                <c:pt idx="31">
                  <c:v>45009</c:v>
                </c:pt>
                <c:pt idx="32">
                  <c:v>45012</c:v>
                </c:pt>
                <c:pt idx="33">
                  <c:v>45013</c:v>
                </c:pt>
                <c:pt idx="34">
                  <c:v>45014</c:v>
                </c:pt>
                <c:pt idx="35">
                  <c:v>45015</c:v>
                </c:pt>
                <c:pt idx="36">
                  <c:v>45016</c:v>
                </c:pt>
                <c:pt idx="37">
                  <c:v>45019</c:v>
                </c:pt>
                <c:pt idx="38">
                  <c:v>45020</c:v>
                </c:pt>
                <c:pt idx="39">
                  <c:v>45021</c:v>
                </c:pt>
                <c:pt idx="40">
                  <c:v>45022</c:v>
                </c:pt>
                <c:pt idx="41">
                  <c:v>45026</c:v>
                </c:pt>
                <c:pt idx="42">
                  <c:v>45027</c:v>
                </c:pt>
                <c:pt idx="43">
                  <c:v>45028</c:v>
                </c:pt>
                <c:pt idx="44">
                  <c:v>45029</c:v>
                </c:pt>
                <c:pt idx="45">
                  <c:v>45030</c:v>
                </c:pt>
                <c:pt idx="46">
                  <c:v>45033</c:v>
                </c:pt>
                <c:pt idx="47">
                  <c:v>45034</c:v>
                </c:pt>
                <c:pt idx="48">
                  <c:v>45035</c:v>
                </c:pt>
                <c:pt idx="49">
                  <c:v>45036</c:v>
                </c:pt>
                <c:pt idx="50">
                  <c:v>45037</c:v>
                </c:pt>
                <c:pt idx="51">
                  <c:v>45040</c:v>
                </c:pt>
                <c:pt idx="52">
                  <c:v>45041</c:v>
                </c:pt>
                <c:pt idx="53">
                  <c:v>45042</c:v>
                </c:pt>
                <c:pt idx="54">
                  <c:v>45043</c:v>
                </c:pt>
                <c:pt idx="55">
                  <c:v>45044</c:v>
                </c:pt>
                <c:pt idx="56">
                  <c:v>45047</c:v>
                </c:pt>
                <c:pt idx="57">
                  <c:v>45048</c:v>
                </c:pt>
                <c:pt idx="58">
                  <c:v>45049</c:v>
                </c:pt>
                <c:pt idx="59">
                  <c:v>45050</c:v>
                </c:pt>
                <c:pt idx="60">
                  <c:v>45051</c:v>
                </c:pt>
              </c:numCache>
            </c:numRef>
          </c:cat>
          <c:val>
            <c:numRef>
              <c:f>'stocks project'!$K$77:$K$137</c:f>
              <c:numCache>
                <c:formatCode>#,##0.0</c:formatCode>
                <c:ptCount val="61"/>
                <c:pt idx="0">
                  <c:v>265.06359863281199</c:v>
                </c:pt>
                <c:pt idx="1">
                  <c:v>261.96136474609301</c:v>
                </c:pt>
                <c:pt idx="2">
                  <c:v>261.44265747070301</c:v>
                </c:pt>
                <c:pt idx="3">
                  <c:v>269.64212036132801</c:v>
                </c:pt>
                <c:pt idx="4">
                  <c:v>270.49002075195301</c:v>
                </c:pt>
                <c:pt idx="5">
                  <c:v>268.32000732421801</c:v>
                </c:pt>
                <c:pt idx="6">
                  <c:v>261.14999389648398</c:v>
                </c:pt>
                <c:pt idx="7">
                  <c:v>257.05999755859301</c:v>
                </c:pt>
                <c:pt idx="8">
                  <c:v>251.669998168945</c:v>
                </c:pt>
                <c:pt idx="9">
                  <c:v>250.509994506835</c:v>
                </c:pt>
                <c:pt idx="10">
                  <c:v>253.77000427246</c:v>
                </c:pt>
                <c:pt idx="11">
                  <c:v>248.22000122070301</c:v>
                </c:pt>
                <c:pt idx="12">
                  <c:v>249.16000366210901</c:v>
                </c:pt>
                <c:pt idx="13">
                  <c:v>248.419998168945</c:v>
                </c:pt>
                <c:pt idx="14">
                  <c:v>245.27000427246</c:v>
                </c:pt>
                <c:pt idx="15">
                  <c:v>250.11000061035099</c:v>
                </c:pt>
                <c:pt idx="16">
                  <c:v>254.28999328613199</c:v>
                </c:pt>
                <c:pt idx="17">
                  <c:v>255.86999511718699</c:v>
                </c:pt>
                <c:pt idx="18">
                  <c:v>253.14999389648401</c:v>
                </c:pt>
                <c:pt idx="19">
                  <c:v>252.69999694824199</c:v>
                </c:pt>
                <c:pt idx="20">
                  <c:v>251.32000732421801</c:v>
                </c:pt>
                <c:pt idx="21">
                  <c:v>247.58999633789</c:v>
                </c:pt>
                <c:pt idx="22">
                  <c:v>252.919998168945</c:v>
                </c:pt>
                <c:pt idx="23">
                  <c:v>259.79000854492102</c:v>
                </c:pt>
                <c:pt idx="24">
                  <c:v>264.44000244140602</c:v>
                </c:pt>
                <c:pt idx="25">
                  <c:v>275.20001220703102</c:v>
                </c:pt>
                <c:pt idx="26">
                  <c:v>278.42999267578102</c:v>
                </c:pt>
                <c:pt idx="27">
                  <c:v>271.23001098632801</c:v>
                </c:pt>
                <c:pt idx="28">
                  <c:v>272.77999877929602</c:v>
                </c:pt>
                <c:pt idx="29">
                  <c:v>271.29000854492102</c:v>
                </c:pt>
                <c:pt idx="30">
                  <c:v>276.66000366210898</c:v>
                </c:pt>
                <c:pt idx="31">
                  <c:v>279.57000732421801</c:v>
                </c:pt>
                <c:pt idx="32">
                  <c:v>275.38000488281199</c:v>
                </c:pt>
                <c:pt idx="33">
                  <c:v>274.23001098632801</c:v>
                </c:pt>
                <c:pt idx="34">
                  <c:v>279.510009765625</c:v>
                </c:pt>
                <c:pt idx="35">
                  <c:v>283.04998779296801</c:v>
                </c:pt>
                <c:pt idx="36">
                  <c:v>287.29998779296801</c:v>
                </c:pt>
                <c:pt idx="37">
                  <c:v>286.23001098632801</c:v>
                </c:pt>
                <c:pt idx="38">
                  <c:v>286.17999267578102</c:v>
                </c:pt>
                <c:pt idx="39">
                  <c:v>283.33999633789</c:v>
                </c:pt>
                <c:pt idx="40">
                  <c:v>290.600006103515</c:v>
                </c:pt>
                <c:pt idx="41">
                  <c:v>288.39001464843699</c:v>
                </c:pt>
                <c:pt idx="42">
                  <c:v>281.829986572265</c:v>
                </c:pt>
                <c:pt idx="43">
                  <c:v>282.489990234375</c:v>
                </c:pt>
                <c:pt idx="44">
                  <c:v>288.83999633789</c:v>
                </c:pt>
                <c:pt idx="45">
                  <c:v>285.14001464843699</c:v>
                </c:pt>
                <c:pt idx="46">
                  <c:v>287.79998779296801</c:v>
                </c:pt>
                <c:pt idx="47">
                  <c:v>287.36999511718699</c:v>
                </c:pt>
                <c:pt idx="48">
                  <c:v>287.45001220703102</c:v>
                </c:pt>
                <c:pt idx="49">
                  <c:v>285.10998535156199</c:v>
                </c:pt>
                <c:pt idx="50">
                  <c:v>284.760009765625</c:v>
                </c:pt>
                <c:pt idx="51">
                  <c:v>280.76998901367102</c:v>
                </c:pt>
                <c:pt idx="52">
                  <c:v>274.42001342773398</c:v>
                </c:pt>
                <c:pt idx="53">
                  <c:v>294.36999511718699</c:v>
                </c:pt>
                <c:pt idx="54">
                  <c:v>303.829986572265</c:v>
                </c:pt>
                <c:pt idx="55">
                  <c:v>306.260009765625</c:v>
                </c:pt>
                <c:pt idx="56">
                  <c:v>304.55999755859301</c:v>
                </c:pt>
                <c:pt idx="57">
                  <c:v>304.41000366210898</c:v>
                </c:pt>
                <c:pt idx="58">
                  <c:v>303.39999389648398</c:v>
                </c:pt>
                <c:pt idx="59">
                  <c:v>304.41000366210898</c:v>
                </c:pt>
                <c:pt idx="60">
                  <c:v>309.64999389648398</c:v>
                </c:pt>
              </c:numCache>
            </c:numRef>
          </c:val>
        </c:ser>
        <c:overlap val="100"/>
        <c:axId val="124720640"/>
        <c:axId val="124722176"/>
      </c:barChart>
      <c:dateAx>
        <c:axId val="124720640"/>
        <c:scaling>
          <c:orientation val="minMax"/>
        </c:scaling>
        <c:axPos val="b"/>
        <c:numFmt formatCode="[$-409]dd\-mmm\-yy;@" sourceLinked="1"/>
        <c:tickLblPos val="nextTo"/>
        <c:crossAx val="124722176"/>
        <c:crosses val="autoZero"/>
        <c:auto val="1"/>
        <c:lblOffset val="100"/>
      </c:dateAx>
      <c:valAx>
        <c:axId val="124722176"/>
        <c:scaling>
          <c:orientation val="minMax"/>
        </c:scaling>
        <c:axPos val="l"/>
        <c:majorGridlines/>
        <c:numFmt formatCode="#,##0.0" sourceLinked="1"/>
        <c:tickLblPos val="nextTo"/>
        <c:crossAx val="124720640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stacked"/>
        <c:ser>
          <c:idx val="0"/>
          <c:order val="0"/>
          <c:spPr>
            <a:solidFill>
              <a:schemeClr val="accent2">
                <a:lumMod val="50000"/>
              </a:schemeClr>
            </a:solidFill>
          </c:spPr>
          <c:cat>
            <c:numRef>
              <c:f>'stocks project'!$D$143:$D$203</c:f>
              <c:numCache>
                <c:formatCode>[$-409]dd\-mmm\-yy;@</c:formatCode>
                <c:ptCount val="61"/>
                <c:pt idx="0">
                  <c:v>44965</c:v>
                </c:pt>
                <c:pt idx="1">
                  <c:v>44966</c:v>
                </c:pt>
                <c:pt idx="2">
                  <c:v>44967</c:v>
                </c:pt>
                <c:pt idx="3">
                  <c:v>44970</c:v>
                </c:pt>
                <c:pt idx="4">
                  <c:v>44971</c:v>
                </c:pt>
                <c:pt idx="5">
                  <c:v>44972</c:v>
                </c:pt>
                <c:pt idx="6">
                  <c:v>44973</c:v>
                </c:pt>
                <c:pt idx="7">
                  <c:v>44974</c:v>
                </c:pt>
                <c:pt idx="8">
                  <c:v>44978</c:v>
                </c:pt>
                <c:pt idx="9">
                  <c:v>44979</c:v>
                </c:pt>
                <c:pt idx="10">
                  <c:v>44980</c:v>
                </c:pt>
                <c:pt idx="11">
                  <c:v>44981</c:v>
                </c:pt>
                <c:pt idx="12">
                  <c:v>44984</c:v>
                </c:pt>
                <c:pt idx="13">
                  <c:v>44985</c:v>
                </c:pt>
                <c:pt idx="14">
                  <c:v>44986</c:v>
                </c:pt>
                <c:pt idx="15">
                  <c:v>44987</c:v>
                </c:pt>
                <c:pt idx="16">
                  <c:v>44988</c:v>
                </c:pt>
                <c:pt idx="17">
                  <c:v>44991</c:v>
                </c:pt>
                <c:pt idx="18">
                  <c:v>44992</c:v>
                </c:pt>
                <c:pt idx="19">
                  <c:v>44993</c:v>
                </c:pt>
                <c:pt idx="20">
                  <c:v>44994</c:v>
                </c:pt>
                <c:pt idx="21">
                  <c:v>44995</c:v>
                </c:pt>
                <c:pt idx="22">
                  <c:v>44998</c:v>
                </c:pt>
                <c:pt idx="23">
                  <c:v>44999</c:v>
                </c:pt>
                <c:pt idx="24">
                  <c:v>45000</c:v>
                </c:pt>
                <c:pt idx="25">
                  <c:v>45001</c:v>
                </c:pt>
                <c:pt idx="26">
                  <c:v>45002</c:v>
                </c:pt>
                <c:pt idx="27">
                  <c:v>45005</c:v>
                </c:pt>
                <c:pt idx="28">
                  <c:v>45006</c:v>
                </c:pt>
                <c:pt idx="29">
                  <c:v>45007</c:v>
                </c:pt>
                <c:pt idx="30">
                  <c:v>45008</c:v>
                </c:pt>
                <c:pt idx="31">
                  <c:v>45009</c:v>
                </c:pt>
                <c:pt idx="32">
                  <c:v>45012</c:v>
                </c:pt>
                <c:pt idx="33">
                  <c:v>45013</c:v>
                </c:pt>
                <c:pt idx="34">
                  <c:v>45014</c:v>
                </c:pt>
                <c:pt idx="35">
                  <c:v>45015</c:v>
                </c:pt>
                <c:pt idx="36">
                  <c:v>45016</c:v>
                </c:pt>
                <c:pt idx="37">
                  <c:v>45019</c:v>
                </c:pt>
                <c:pt idx="38">
                  <c:v>45020</c:v>
                </c:pt>
                <c:pt idx="39">
                  <c:v>45021</c:v>
                </c:pt>
                <c:pt idx="40">
                  <c:v>45022</c:v>
                </c:pt>
                <c:pt idx="41">
                  <c:v>45026</c:v>
                </c:pt>
                <c:pt idx="42">
                  <c:v>45027</c:v>
                </c:pt>
                <c:pt idx="43">
                  <c:v>45028</c:v>
                </c:pt>
                <c:pt idx="44">
                  <c:v>45029</c:v>
                </c:pt>
                <c:pt idx="45">
                  <c:v>45030</c:v>
                </c:pt>
                <c:pt idx="46">
                  <c:v>45033</c:v>
                </c:pt>
                <c:pt idx="47">
                  <c:v>45034</c:v>
                </c:pt>
                <c:pt idx="48">
                  <c:v>45035</c:v>
                </c:pt>
                <c:pt idx="49">
                  <c:v>45036</c:v>
                </c:pt>
                <c:pt idx="50">
                  <c:v>45037</c:v>
                </c:pt>
                <c:pt idx="51">
                  <c:v>45040</c:v>
                </c:pt>
                <c:pt idx="52">
                  <c:v>45041</c:v>
                </c:pt>
                <c:pt idx="53">
                  <c:v>45042</c:v>
                </c:pt>
                <c:pt idx="54">
                  <c:v>45043</c:v>
                </c:pt>
                <c:pt idx="55">
                  <c:v>45044</c:v>
                </c:pt>
                <c:pt idx="56">
                  <c:v>45047</c:v>
                </c:pt>
                <c:pt idx="57">
                  <c:v>45048</c:v>
                </c:pt>
                <c:pt idx="58">
                  <c:v>45049</c:v>
                </c:pt>
                <c:pt idx="59">
                  <c:v>45050</c:v>
                </c:pt>
                <c:pt idx="60">
                  <c:v>45051</c:v>
                </c:pt>
              </c:numCache>
            </c:numRef>
          </c:cat>
          <c:val>
            <c:numRef>
              <c:f>'stocks project'!$K$143:$K$203</c:f>
              <c:numCache>
                <c:formatCode>#,##0.0</c:formatCode>
                <c:ptCount val="61"/>
                <c:pt idx="0">
                  <c:v>365.829986572265</c:v>
                </c:pt>
                <c:pt idx="1">
                  <c:v>361.5</c:v>
                </c:pt>
                <c:pt idx="2">
                  <c:v>346.35998535156199</c:v>
                </c:pt>
                <c:pt idx="3">
                  <c:v>357.57000732421801</c:v>
                </c:pt>
                <c:pt idx="4">
                  <c:v>358.95999145507801</c:v>
                </c:pt>
                <c:pt idx="5">
                  <c:v>360.42001342773398</c:v>
                </c:pt>
                <c:pt idx="6">
                  <c:v>349.70999145507801</c:v>
                </c:pt>
                <c:pt idx="7">
                  <c:v>346.95999145507801</c:v>
                </c:pt>
                <c:pt idx="8">
                  <c:v>336.5</c:v>
                </c:pt>
                <c:pt idx="9">
                  <c:v>333.88000488281199</c:v>
                </c:pt>
                <c:pt idx="10">
                  <c:v>322.64999389648398</c:v>
                </c:pt>
                <c:pt idx="11">
                  <c:v>316.14999389648398</c:v>
                </c:pt>
                <c:pt idx="12">
                  <c:v>322.02999877929602</c:v>
                </c:pt>
                <c:pt idx="13">
                  <c:v>321.13000488281199</c:v>
                </c:pt>
                <c:pt idx="14">
                  <c:v>312.48001098632801</c:v>
                </c:pt>
                <c:pt idx="15">
                  <c:v>310.88000488281199</c:v>
                </c:pt>
                <c:pt idx="16">
                  <c:v>314.17999267578102</c:v>
                </c:pt>
                <c:pt idx="17">
                  <c:v>311.02999877929602</c:v>
                </c:pt>
                <c:pt idx="18">
                  <c:v>307.47000122070301</c:v>
                </c:pt>
                <c:pt idx="19">
                  <c:v>310.79000854492102</c:v>
                </c:pt>
                <c:pt idx="20">
                  <c:v>296.77999877929602</c:v>
                </c:pt>
                <c:pt idx="21">
                  <c:v>291.760009765625</c:v>
                </c:pt>
                <c:pt idx="22">
                  <c:v>292.510009765625</c:v>
                </c:pt>
                <c:pt idx="23">
                  <c:v>293.94000244140602</c:v>
                </c:pt>
                <c:pt idx="24">
                  <c:v>302.79000854492102</c:v>
                </c:pt>
                <c:pt idx="25">
                  <c:v>309.05999755859301</c:v>
                </c:pt>
                <c:pt idx="26">
                  <c:v>302.5</c:v>
                </c:pt>
                <c:pt idx="27">
                  <c:v>304.13000488281199</c:v>
                </c:pt>
                <c:pt idx="28">
                  <c:v>304.79000854492102</c:v>
                </c:pt>
                <c:pt idx="29">
                  <c:v>292.89999389648398</c:v>
                </c:pt>
                <c:pt idx="30">
                  <c:v>319.36999511718699</c:v>
                </c:pt>
                <c:pt idx="31">
                  <c:v>327.39001464843699</c:v>
                </c:pt>
                <c:pt idx="32">
                  <c:v>326.66000366210898</c:v>
                </c:pt>
                <c:pt idx="33">
                  <c:v>322.51998901367102</c:v>
                </c:pt>
                <c:pt idx="34">
                  <c:v>331.02999877929602</c:v>
                </c:pt>
                <c:pt idx="35">
                  <c:v>337.42999267578102</c:v>
                </c:pt>
                <c:pt idx="36">
                  <c:v>344.48001098632801</c:v>
                </c:pt>
                <c:pt idx="37">
                  <c:v>347.27999877929602</c:v>
                </c:pt>
                <c:pt idx="38">
                  <c:v>345.75</c:v>
                </c:pt>
                <c:pt idx="39">
                  <c:v>341.350006103515</c:v>
                </c:pt>
                <c:pt idx="40">
                  <c:v>338.329986572265</c:v>
                </c:pt>
                <c:pt idx="41">
                  <c:v>337.989990234375</c:v>
                </c:pt>
                <c:pt idx="42">
                  <c:v>337.20999145507801</c:v>
                </c:pt>
                <c:pt idx="43">
                  <c:v>330.02999877929602</c:v>
                </c:pt>
                <c:pt idx="44">
                  <c:v>345.19000244140602</c:v>
                </c:pt>
                <c:pt idx="45">
                  <c:v>337.63000488281199</c:v>
                </c:pt>
                <c:pt idx="46">
                  <c:v>331.72000122070301</c:v>
                </c:pt>
                <c:pt idx="47">
                  <c:v>332.70001220703102</c:v>
                </c:pt>
                <c:pt idx="48">
                  <c:v>322.11999511718699</c:v>
                </c:pt>
                <c:pt idx="49">
                  <c:v>324.350006103515</c:v>
                </c:pt>
                <c:pt idx="50">
                  <c:v>326.98001098632801</c:v>
                </c:pt>
                <c:pt idx="51">
                  <c:v>328.01998901367102</c:v>
                </c:pt>
                <c:pt idx="52">
                  <c:v>321.54998779296801</c:v>
                </c:pt>
                <c:pt idx="53">
                  <c:v>320.14999389648398</c:v>
                </c:pt>
                <c:pt idx="54">
                  <c:v>324.850006103515</c:v>
                </c:pt>
                <c:pt idx="55">
                  <c:v>328.92999267578102</c:v>
                </c:pt>
                <c:pt idx="56">
                  <c:v>323.11999511718699</c:v>
                </c:pt>
                <c:pt idx="57">
                  <c:v>316.54998779296801</c:v>
                </c:pt>
                <c:pt idx="58">
                  <c:v>318.29998779296801</c:v>
                </c:pt>
                <c:pt idx="59">
                  <c:v>319.77999877929602</c:v>
                </c:pt>
                <c:pt idx="60">
                  <c:v>321.760009765625</c:v>
                </c:pt>
              </c:numCache>
            </c:numRef>
          </c:val>
        </c:ser>
        <c:overlap val="100"/>
        <c:axId val="124749696"/>
        <c:axId val="124751232"/>
      </c:barChart>
      <c:dateAx>
        <c:axId val="124749696"/>
        <c:scaling>
          <c:orientation val="minMax"/>
        </c:scaling>
        <c:axPos val="b"/>
        <c:numFmt formatCode="[$-409]dd\-mmm\-yy;@" sourceLinked="1"/>
        <c:tickLblPos val="nextTo"/>
        <c:crossAx val="124751232"/>
        <c:crosses val="autoZero"/>
        <c:auto val="1"/>
        <c:lblOffset val="100"/>
      </c:dateAx>
      <c:valAx>
        <c:axId val="124751232"/>
        <c:scaling>
          <c:orientation val="minMax"/>
        </c:scaling>
        <c:axPos val="l"/>
        <c:majorGridlines/>
        <c:numFmt formatCode="#,##0.0" sourceLinked="1"/>
        <c:tickLblPos val="nextTo"/>
        <c:crossAx val="124749696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stacked"/>
        <c:ser>
          <c:idx val="0"/>
          <c:order val="0"/>
          <c:spPr>
            <a:solidFill>
              <a:schemeClr val="accent2">
                <a:lumMod val="50000"/>
              </a:schemeClr>
            </a:solidFill>
          </c:spPr>
          <c:cat>
            <c:numRef>
              <c:f>'stocks project'!$D$143:$D$203</c:f>
              <c:numCache>
                <c:formatCode>[$-409]dd\-mmm\-yy;@</c:formatCode>
                <c:ptCount val="61"/>
                <c:pt idx="0">
                  <c:v>44965</c:v>
                </c:pt>
                <c:pt idx="1">
                  <c:v>44966</c:v>
                </c:pt>
                <c:pt idx="2">
                  <c:v>44967</c:v>
                </c:pt>
                <c:pt idx="3">
                  <c:v>44970</c:v>
                </c:pt>
                <c:pt idx="4">
                  <c:v>44971</c:v>
                </c:pt>
                <c:pt idx="5">
                  <c:v>44972</c:v>
                </c:pt>
                <c:pt idx="6">
                  <c:v>44973</c:v>
                </c:pt>
                <c:pt idx="7">
                  <c:v>44974</c:v>
                </c:pt>
                <c:pt idx="8">
                  <c:v>44978</c:v>
                </c:pt>
                <c:pt idx="9">
                  <c:v>44979</c:v>
                </c:pt>
                <c:pt idx="10">
                  <c:v>44980</c:v>
                </c:pt>
                <c:pt idx="11">
                  <c:v>44981</c:v>
                </c:pt>
                <c:pt idx="12">
                  <c:v>44984</c:v>
                </c:pt>
                <c:pt idx="13">
                  <c:v>44985</c:v>
                </c:pt>
                <c:pt idx="14">
                  <c:v>44986</c:v>
                </c:pt>
                <c:pt idx="15">
                  <c:v>44987</c:v>
                </c:pt>
                <c:pt idx="16">
                  <c:v>44988</c:v>
                </c:pt>
                <c:pt idx="17">
                  <c:v>44991</c:v>
                </c:pt>
                <c:pt idx="18">
                  <c:v>44992</c:v>
                </c:pt>
                <c:pt idx="19">
                  <c:v>44993</c:v>
                </c:pt>
                <c:pt idx="20">
                  <c:v>44994</c:v>
                </c:pt>
                <c:pt idx="21">
                  <c:v>44995</c:v>
                </c:pt>
                <c:pt idx="22">
                  <c:v>44998</c:v>
                </c:pt>
                <c:pt idx="23">
                  <c:v>44999</c:v>
                </c:pt>
                <c:pt idx="24">
                  <c:v>45000</c:v>
                </c:pt>
                <c:pt idx="25">
                  <c:v>45001</c:v>
                </c:pt>
                <c:pt idx="26">
                  <c:v>45002</c:v>
                </c:pt>
                <c:pt idx="27">
                  <c:v>45005</c:v>
                </c:pt>
                <c:pt idx="28">
                  <c:v>45006</c:v>
                </c:pt>
                <c:pt idx="29">
                  <c:v>45007</c:v>
                </c:pt>
                <c:pt idx="30">
                  <c:v>45008</c:v>
                </c:pt>
                <c:pt idx="31">
                  <c:v>45009</c:v>
                </c:pt>
                <c:pt idx="32">
                  <c:v>45012</c:v>
                </c:pt>
                <c:pt idx="33">
                  <c:v>45013</c:v>
                </c:pt>
                <c:pt idx="34">
                  <c:v>45014</c:v>
                </c:pt>
                <c:pt idx="35">
                  <c:v>45015</c:v>
                </c:pt>
                <c:pt idx="36">
                  <c:v>45016</c:v>
                </c:pt>
                <c:pt idx="37">
                  <c:v>45019</c:v>
                </c:pt>
                <c:pt idx="38">
                  <c:v>45020</c:v>
                </c:pt>
                <c:pt idx="39">
                  <c:v>45021</c:v>
                </c:pt>
                <c:pt idx="40">
                  <c:v>45022</c:v>
                </c:pt>
                <c:pt idx="41">
                  <c:v>45026</c:v>
                </c:pt>
                <c:pt idx="42">
                  <c:v>45027</c:v>
                </c:pt>
                <c:pt idx="43">
                  <c:v>45028</c:v>
                </c:pt>
                <c:pt idx="44">
                  <c:v>45029</c:v>
                </c:pt>
                <c:pt idx="45">
                  <c:v>45030</c:v>
                </c:pt>
                <c:pt idx="46">
                  <c:v>45033</c:v>
                </c:pt>
                <c:pt idx="47">
                  <c:v>45034</c:v>
                </c:pt>
                <c:pt idx="48">
                  <c:v>45035</c:v>
                </c:pt>
                <c:pt idx="49">
                  <c:v>45036</c:v>
                </c:pt>
                <c:pt idx="50">
                  <c:v>45037</c:v>
                </c:pt>
                <c:pt idx="51">
                  <c:v>45040</c:v>
                </c:pt>
                <c:pt idx="52">
                  <c:v>45041</c:v>
                </c:pt>
                <c:pt idx="53">
                  <c:v>45042</c:v>
                </c:pt>
                <c:pt idx="54">
                  <c:v>45043</c:v>
                </c:pt>
                <c:pt idx="55">
                  <c:v>45044</c:v>
                </c:pt>
                <c:pt idx="56">
                  <c:v>45047</c:v>
                </c:pt>
                <c:pt idx="57">
                  <c:v>45048</c:v>
                </c:pt>
                <c:pt idx="58">
                  <c:v>45049</c:v>
                </c:pt>
                <c:pt idx="59">
                  <c:v>45050</c:v>
                </c:pt>
                <c:pt idx="60">
                  <c:v>45051</c:v>
                </c:pt>
              </c:numCache>
            </c:numRef>
          </c:cat>
          <c:val>
            <c:numRef>
              <c:f>'stocks project'!$K$143:$K$203</c:f>
              <c:numCache>
                <c:formatCode>#,##0.0</c:formatCode>
                <c:ptCount val="61"/>
                <c:pt idx="0">
                  <c:v>365.829986572265</c:v>
                </c:pt>
                <c:pt idx="1">
                  <c:v>361.5</c:v>
                </c:pt>
                <c:pt idx="2">
                  <c:v>346.35998535156199</c:v>
                </c:pt>
                <c:pt idx="3">
                  <c:v>357.57000732421801</c:v>
                </c:pt>
                <c:pt idx="4">
                  <c:v>358.95999145507801</c:v>
                </c:pt>
                <c:pt idx="5">
                  <c:v>360.42001342773398</c:v>
                </c:pt>
                <c:pt idx="6">
                  <c:v>349.70999145507801</c:v>
                </c:pt>
                <c:pt idx="7">
                  <c:v>346.95999145507801</c:v>
                </c:pt>
                <c:pt idx="8">
                  <c:v>336.5</c:v>
                </c:pt>
                <c:pt idx="9">
                  <c:v>333.88000488281199</c:v>
                </c:pt>
                <c:pt idx="10">
                  <c:v>322.64999389648398</c:v>
                </c:pt>
                <c:pt idx="11">
                  <c:v>316.14999389648398</c:v>
                </c:pt>
                <c:pt idx="12">
                  <c:v>322.02999877929602</c:v>
                </c:pt>
                <c:pt idx="13">
                  <c:v>321.13000488281199</c:v>
                </c:pt>
                <c:pt idx="14">
                  <c:v>312.48001098632801</c:v>
                </c:pt>
                <c:pt idx="15">
                  <c:v>310.88000488281199</c:v>
                </c:pt>
                <c:pt idx="16">
                  <c:v>314.17999267578102</c:v>
                </c:pt>
                <c:pt idx="17">
                  <c:v>311.02999877929602</c:v>
                </c:pt>
                <c:pt idx="18">
                  <c:v>307.47000122070301</c:v>
                </c:pt>
                <c:pt idx="19">
                  <c:v>310.79000854492102</c:v>
                </c:pt>
                <c:pt idx="20">
                  <c:v>296.77999877929602</c:v>
                </c:pt>
                <c:pt idx="21">
                  <c:v>291.760009765625</c:v>
                </c:pt>
                <c:pt idx="22">
                  <c:v>292.510009765625</c:v>
                </c:pt>
                <c:pt idx="23">
                  <c:v>293.94000244140602</c:v>
                </c:pt>
                <c:pt idx="24">
                  <c:v>302.79000854492102</c:v>
                </c:pt>
                <c:pt idx="25">
                  <c:v>309.05999755859301</c:v>
                </c:pt>
                <c:pt idx="26">
                  <c:v>302.5</c:v>
                </c:pt>
                <c:pt idx="27">
                  <c:v>304.13000488281199</c:v>
                </c:pt>
                <c:pt idx="28">
                  <c:v>304.79000854492102</c:v>
                </c:pt>
                <c:pt idx="29">
                  <c:v>292.89999389648398</c:v>
                </c:pt>
                <c:pt idx="30">
                  <c:v>319.36999511718699</c:v>
                </c:pt>
                <c:pt idx="31">
                  <c:v>327.39001464843699</c:v>
                </c:pt>
                <c:pt idx="32">
                  <c:v>326.66000366210898</c:v>
                </c:pt>
                <c:pt idx="33">
                  <c:v>322.51998901367102</c:v>
                </c:pt>
                <c:pt idx="34">
                  <c:v>331.02999877929602</c:v>
                </c:pt>
                <c:pt idx="35">
                  <c:v>337.42999267578102</c:v>
                </c:pt>
                <c:pt idx="36">
                  <c:v>344.48001098632801</c:v>
                </c:pt>
                <c:pt idx="37">
                  <c:v>347.27999877929602</c:v>
                </c:pt>
                <c:pt idx="38">
                  <c:v>345.75</c:v>
                </c:pt>
                <c:pt idx="39">
                  <c:v>341.350006103515</c:v>
                </c:pt>
                <c:pt idx="40">
                  <c:v>338.329986572265</c:v>
                </c:pt>
                <c:pt idx="41">
                  <c:v>337.989990234375</c:v>
                </c:pt>
                <c:pt idx="42">
                  <c:v>337.20999145507801</c:v>
                </c:pt>
                <c:pt idx="43">
                  <c:v>330.02999877929602</c:v>
                </c:pt>
                <c:pt idx="44">
                  <c:v>345.19000244140602</c:v>
                </c:pt>
                <c:pt idx="45">
                  <c:v>337.63000488281199</c:v>
                </c:pt>
                <c:pt idx="46">
                  <c:v>331.72000122070301</c:v>
                </c:pt>
                <c:pt idx="47">
                  <c:v>332.70001220703102</c:v>
                </c:pt>
                <c:pt idx="48">
                  <c:v>322.11999511718699</c:v>
                </c:pt>
                <c:pt idx="49">
                  <c:v>324.350006103515</c:v>
                </c:pt>
                <c:pt idx="50">
                  <c:v>326.98001098632801</c:v>
                </c:pt>
                <c:pt idx="51">
                  <c:v>328.01998901367102</c:v>
                </c:pt>
                <c:pt idx="52">
                  <c:v>321.54998779296801</c:v>
                </c:pt>
                <c:pt idx="53">
                  <c:v>320.14999389648398</c:v>
                </c:pt>
                <c:pt idx="54">
                  <c:v>324.850006103515</c:v>
                </c:pt>
                <c:pt idx="55">
                  <c:v>328.92999267578102</c:v>
                </c:pt>
                <c:pt idx="56">
                  <c:v>323.11999511718699</c:v>
                </c:pt>
                <c:pt idx="57">
                  <c:v>316.54998779296801</c:v>
                </c:pt>
                <c:pt idx="58">
                  <c:v>318.29998779296801</c:v>
                </c:pt>
                <c:pt idx="59">
                  <c:v>319.77999877929602</c:v>
                </c:pt>
                <c:pt idx="60">
                  <c:v>321.760009765625</c:v>
                </c:pt>
              </c:numCache>
            </c:numRef>
          </c:val>
        </c:ser>
        <c:overlap val="100"/>
        <c:axId val="124774656"/>
        <c:axId val="125186048"/>
      </c:barChart>
      <c:dateAx>
        <c:axId val="124774656"/>
        <c:scaling>
          <c:orientation val="minMax"/>
        </c:scaling>
        <c:axPos val="b"/>
        <c:numFmt formatCode="[$-409]dd\-mmm\-yy;@" sourceLinked="1"/>
        <c:tickLblPos val="nextTo"/>
        <c:crossAx val="125186048"/>
        <c:crosses val="autoZero"/>
        <c:auto val="1"/>
        <c:lblOffset val="100"/>
      </c:dateAx>
      <c:valAx>
        <c:axId val="125186048"/>
        <c:scaling>
          <c:orientation val="minMax"/>
        </c:scaling>
        <c:axPos val="l"/>
        <c:majorGridlines/>
        <c:numFmt formatCode="#,##0.0" sourceLinked="1"/>
        <c:tickLblPos val="nextTo"/>
        <c:crossAx val="124774656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stacked"/>
        <c:ser>
          <c:idx val="0"/>
          <c:order val="0"/>
          <c:cat>
            <c:strRef>
              <c:f>'stocks project'!$AF$11:$AF$14</c:f>
              <c:strCache>
                <c:ptCount val="4"/>
                <c:pt idx="0">
                  <c:v>AAPL</c:v>
                </c:pt>
                <c:pt idx="1">
                  <c:v>NSFT</c:v>
                </c:pt>
                <c:pt idx="2">
                  <c:v>MSFT</c:v>
                </c:pt>
                <c:pt idx="3">
                  <c:v>GOOG</c:v>
                </c:pt>
              </c:strCache>
            </c:strRef>
          </c:cat>
          <c:val>
            <c:numRef>
              <c:f>'stocks project'!$AG$11:$AG$14</c:f>
              <c:numCache>
                <c:formatCode>General</c:formatCode>
                <c:ptCount val="4"/>
              </c:numCache>
            </c:numRef>
          </c:val>
        </c:ser>
        <c:ser>
          <c:idx val="1"/>
          <c:order val="1"/>
          <c:cat>
            <c:strRef>
              <c:f>'stocks project'!$AF$11:$AF$14</c:f>
              <c:strCache>
                <c:ptCount val="4"/>
                <c:pt idx="0">
                  <c:v>AAPL</c:v>
                </c:pt>
                <c:pt idx="1">
                  <c:v>NSFT</c:v>
                </c:pt>
                <c:pt idx="2">
                  <c:v>MSFT</c:v>
                </c:pt>
                <c:pt idx="3">
                  <c:v>GOOG</c:v>
                </c:pt>
              </c:strCache>
            </c:strRef>
          </c:cat>
          <c:val>
            <c:numRef>
              <c:f>'stocks project'!$AH$11:$AH$14</c:f>
              <c:numCache>
                <c:formatCode>#,##0.0</c:formatCode>
                <c:ptCount val="4"/>
                <c:pt idx="0">
                  <c:v>60282958.064516127</c:v>
                </c:pt>
                <c:pt idx="1">
                  <c:v>6471732.2580645159</c:v>
                </c:pt>
                <c:pt idx="2">
                  <c:v>30848353.225806452</c:v>
                </c:pt>
                <c:pt idx="3">
                  <c:v>30725372.580645163</c:v>
                </c:pt>
              </c:numCache>
            </c:numRef>
          </c:val>
        </c:ser>
        <c:overlap val="100"/>
        <c:axId val="125201792"/>
        <c:axId val="125215872"/>
      </c:barChart>
      <c:catAx>
        <c:axId val="125201792"/>
        <c:scaling>
          <c:orientation val="minMax"/>
        </c:scaling>
        <c:axPos val="b"/>
        <c:tickLblPos val="nextTo"/>
        <c:crossAx val="125215872"/>
        <c:crosses val="autoZero"/>
        <c:auto val="1"/>
        <c:lblAlgn val="ctr"/>
        <c:lblOffset val="100"/>
      </c:catAx>
      <c:valAx>
        <c:axId val="125215872"/>
        <c:scaling>
          <c:orientation val="minMax"/>
        </c:scaling>
        <c:axPos val="l"/>
        <c:numFmt formatCode="General" sourceLinked="1"/>
        <c:tickLblPos val="nextTo"/>
        <c:crossAx val="125201792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chart>
    <c:autoTitleDeleted val="1"/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'stocks project'!$H$10:$H$71</c:f>
              <c:numCache>
                <c:formatCode>#,##0.0</c:formatCode>
                <c:ptCount val="62"/>
                <c:pt idx="0">
                  <c:v>154.64999389648401</c:v>
                </c:pt>
                <c:pt idx="1">
                  <c:v>151.919998168945</c:v>
                </c:pt>
                <c:pt idx="2">
                  <c:v>150.86999511718699</c:v>
                </c:pt>
                <c:pt idx="3">
                  <c:v>151.009994506835</c:v>
                </c:pt>
                <c:pt idx="4">
                  <c:v>153.850006103515</c:v>
                </c:pt>
                <c:pt idx="5">
                  <c:v>153.19999694824199</c:v>
                </c:pt>
                <c:pt idx="6">
                  <c:v>155.33000183105401</c:v>
                </c:pt>
                <c:pt idx="7">
                  <c:v>153.71000671386699</c:v>
                </c:pt>
                <c:pt idx="8">
                  <c:v>152.55000305175699</c:v>
                </c:pt>
                <c:pt idx="9">
                  <c:v>148.47999572753901</c:v>
                </c:pt>
                <c:pt idx="10">
                  <c:v>148.91000366210901</c:v>
                </c:pt>
                <c:pt idx="11">
                  <c:v>149.39999389648401</c:v>
                </c:pt>
                <c:pt idx="12">
                  <c:v>146.71000671386699</c:v>
                </c:pt>
                <c:pt idx="13">
                  <c:v>147.919998168945</c:v>
                </c:pt>
                <c:pt idx="14">
                  <c:v>147.41000366210901</c:v>
                </c:pt>
                <c:pt idx="15">
                  <c:v>145.30999755859301</c:v>
                </c:pt>
                <c:pt idx="16">
                  <c:v>145.91000366210901</c:v>
                </c:pt>
                <c:pt idx="17">
                  <c:v>151.02999877929599</c:v>
                </c:pt>
                <c:pt idx="18">
                  <c:v>153.83000183105401</c:v>
                </c:pt>
                <c:pt idx="19">
                  <c:v>151.600006103515</c:v>
                </c:pt>
                <c:pt idx="20">
                  <c:v>152.86999511718699</c:v>
                </c:pt>
                <c:pt idx="21">
                  <c:v>150.58999633789</c:v>
                </c:pt>
                <c:pt idx="22">
                  <c:v>148.5</c:v>
                </c:pt>
                <c:pt idx="23">
                  <c:v>150.47000122070301</c:v>
                </c:pt>
                <c:pt idx="24">
                  <c:v>152.58999633789</c:v>
                </c:pt>
                <c:pt idx="25">
                  <c:v>152.99000549316401</c:v>
                </c:pt>
                <c:pt idx="26">
                  <c:v>155.850006103515</c:v>
                </c:pt>
                <c:pt idx="27">
                  <c:v>155</c:v>
                </c:pt>
                <c:pt idx="28">
                  <c:v>157.39999389648401</c:v>
                </c:pt>
                <c:pt idx="29">
                  <c:v>159.27999877929599</c:v>
                </c:pt>
                <c:pt idx="30">
                  <c:v>157.83000183105401</c:v>
                </c:pt>
                <c:pt idx="31">
                  <c:v>158.92999267578099</c:v>
                </c:pt>
                <c:pt idx="32">
                  <c:v>160.25</c:v>
                </c:pt>
                <c:pt idx="33">
                  <c:v>158.27999877929599</c:v>
                </c:pt>
                <c:pt idx="34">
                  <c:v>157.64999389648401</c:v>
                </c:pt>
                <c:pt idx="35">
                  <c:v>160.77000427246</c:v>
                </c:pt>
                <c:pt idx="36">
                  <c:v>162.36000061035099</c:v>
                </c:pt>
                <c:pt idx="37">
                  <c:v>164.89999389648401</c:v>
                </c:pt>
                <c:pt idx="38">
                  <c:v>166.169998168945</c:v>
                </c:pt>
                <c:pt idx="39">
                  <c:v>165.63000488281199</c:v>
                </c:pt>
                <c:pt idx="40">
                  <c:v>163.759994506835</c:v>
                </c:pt>
                <c:pt idx="41">
                  <c:v>164.66000366210901</c:v>
                </c:pt>
                <c:pt idx="42">
                  <c:v>162.02999877929599</c:v>
                </c:pt>
                <c:pt idx="43">
                  <c:v>160.80000305175699</c:v>
                </c:pt>
                <c:pt idx="44">
                  <c:v>160.100006103515</c:v>
                </c:pt>
                <c:pt idx="45">
                  <c:v>165.55999755859301</c:v>
                </c:pt>
                <c:pt idx="46">
                  <c:v>165.21000671386699</c:v>
                </c:pt>
                <c:pt idx="47">
                  <c:v>165.22999572753901</c:v>
                </c:pt>
                <c:pt idx="48">
                  <c:v>166.47000122070301</c:v>
                </c:pt>
                <c:pt idx="49">
                  <c:v>167.63000488281199</c:v>
                </c:pt>
                <c:pt idx="50">
                  <c:v>166.64999389648401</c:v>
                </c:pt>
                <c:pt idx="51">
                  <c:v>165.02000427246</c:v>
                </c:pt>
                <c:pt idx="52">
                  <c:v>165.33000183105401</c:v>
                </c:pt>
                <c:pt idx="53">
                  <c:v>163.77000427246</c:v>
                </c:pt>
                <c:pt idx="54">
                  <c:v>163.759994506835</c:v>
                </c:pt>
                <c:pt idx="55">
                  <c:v>168.41000366210901</c:v>
                </c:pt>
                <c:pt idx="56">
                  <c:v>169.67999267578099</c:v>
                </c:pt>
                <c:pt idx="57">
                  <c:v>169.58999633789</c:v>
                </c:pt>
                <c:pt idx="58">
                  <c:v>168.53999328613199</c:v>
                </c:pt>
                <c:pt idx="59">
                  <c:v>167.44999694824199</c:v>
                </c:pt>
                <c:pt idx="60">
                  <c:v>165.78999328613199</c:v>
                </c:pt>
                <c:pt idx="61">
                  <c:v>173.57000732421801</c:v>
                </c:pt>
              </c:numCache>
            </c:numRef>
          </c:xVal>
          <c:yVal>
            <c:numRef>
              <c:f>'stocks project'!$J$10:$J$71</c:f>
              <c:numCache>
                <c:formatCode>#,##0.0</c:formatCode>
                <c:ptCount val="62"/>
                <c:pt idx="0">
                  <c:v>83322600</c:v>
                </c:pt>
                <c:pt idx="1">
                  <c:v>64120100</c:v>
                </c:pt>
                <c:pt idx="2">
                  <c:v>56007100</c:v>
                </c:pt>
                <c:pt idx="3">
                  <c:v>57450700</c:v>
                </c:pt>
                <c:pt idx="4">
                  <c:v>62199000</c:v>
                </c:pt>
                <c:pt idx="5">
                  <c:v>61707600</c:v>
                </c:pt>
                <c:pt idx="6">
                  <c:v>65573800</c:v>
                </c:pt>
                <c:pt idx="7">
                  <c:v>68167900</c:v>
                </c:pt>
                <c:pt idx="8">
                  <c:v>59144100</c:v>
                </c:pt>
                <c:pt idx="9">
                  <c:v>58867200</c:v>
                </c:pt>
                <c:pt idx="10">
                  <c:v>51011300</c:v>
                </c:pt>
                <c:pt idx="11">
                  <c:v>48394200</c:v>
                </c:pt>
                <c:pt idx="12">
                  <c:v>55469600</c:v>
                </c:pt>
                <c:pt idx="13">
                  <c:v>44998500</c:v>
                </c:pt>
                <c:pt idx="14">
                  <c:v>50547000</c:v>
                </c:pt>
                <c:pt idx="15">
                  <c:v>55479000</c:v>
                </c:pt>
                <c:pt idx="16">
                  <c:v>52238100</c:v>
                </c:pt>
                <c:pt idx="17">
                  <c:v>70732300</c:v>
                </c:pt>
                <c:pt idx="18">
                  <c:v>87558000</c:v>
                </c:pt>
                <c:pt idx="19">
                  <c:v>56182000</c:v>
                </c:pt>
                <c:pt idx="20">
                  <c:v>47204800</c:v>
                </c:pt>
                <c:pt idx="21">
                  <c:v>53833600</c:v>
                </c:pt>
                <c:pt idx="22">
                  <c:v>68572400</c:v>
                </c:pt>
                <c:pt idx="23">
                  <c:v>84457100</c:v>
                </c:pt>
                <c:pt idx="24">
                  <c:v>73695900</c:v>
                </c:pt>
                <c:pt idx="25">
                  <c:v>77167900</c:v>
                </c:pt>
                <c:pt idx="26">
                  <c:v>76161100</c:v>
                </c:pt>
                <c:pt idx="27">
                  <c:v>98944600</c:v>
                </c:pt>
                <c:pt idx="28">
                  <c:v>73641400</c:v>
                </c:pt>
                <c:pt idx="29">
                  <c:v>73938300</c:v>
                </c:pt>
                <c:pt idx="30">
                  <c:v>75701800</c:v>
                </c:pt>
                <c:pt idx="31">
                  <c:v>67622100</c:v>
                </c:pt>
                <c:pt idx="32">
                  <c:v>59196500</c:v>
                </c:pt>
                <c:pt idx="33">
                  <c:v>52390300</c:v>
                </c:pt>
                <c:pt idx="34">
                  <c:v>45992200</c:v>
                </c:pt>
                <c:pt idx="35">
                  <c:v>51305700</c:v>
                </c:pt>
                <c:pt idx="36">
                  <c:v>49501700</c:v>
                </c:pt>
                <c:pt idx="37">
                  <c:v>68749800</c:v>
                </c:pt>
                <c:pt idx="38">
                  <c:v>56976200</c:v>
                </c:pt>
                <c:pt idx="39">
                  <c:v>46278300</c:v>
                </c:pt>
                <c:pt idx="40">
                  <c:v>51511700</c:v>
                </c:pt>
                <c:pt idx="41">
                  <c:v>45390100</c:v>
                </c:pt>
                <c:pt idx="42">
                  <c:v>47716900</c:v>
                </c:pt>
                <c:pt idx="43">
                  <c:v>47644200</c:v>
                </c:pt>
                <c:pt idx="44">
                  <c:v>50133100</c:v>
                </c:pt>
                <c:pt idx="45">
                  <c:v>68445600</c:v>
                </c:pt>
                <c:pt idx="46">
                  <c:v>49386500</c:v>
                </c:pt>
                <c:pt idx="47">
                  <c:v>41516200</c:v>
                </c:pt>
                <c:pt idx="48">
                  <c:v>49923000</c:v>
                </c:pt>
                <c:pt idx="49">
                  <c:v>47720200</c:v>
                </c:pt>
                <c:pt idx="50">
                  <c:v>52456400</c:v>
                </c:pt>
                <c:pt idx="51">
                  <c:v>58337300</c:v>
                </c:pt>
                <c:pt idx="52">
                  <c:v>41949600</c:v>
                </c:pt>
                <c:pt idx="53">
                  <c:v>48714100</c:v>
                </c:pt>
                <c:pt idx="54">
                  <c:v>45498800</c:v>
                </c:pt>
                <c:pt idx="55">
                  <c:v>64902300</c:v>
                </c:pt>
                <c:pt idx="56">
                  <c:v>55209200</c:v>
                </c:pt>
                <c:pt idx="57">
                  <c:v>52472900</c:v>
                </c:pt>
                <c:pt idx="58">
                  <c:v>48425700</c:v>
                </c:pt>
                <c:pt idx="59">
                  <c:v>65136000</c:v>
                </c:pt>
                <c:pt idx="60">
                  <c:v>81235400</c:v>
                </c:pt>
                <c:pt idx="61">
                  <c:v>113316400</c:v>
                </c:pt>
              </c:numCache>
            </c:numRef>
          </c:yVal>
        </c:ser>
        <c:axId val="125227776"/>
        <c:axId val="125229312"/>
      </c:scatterChart>
      <c:valAx>
        <c:axId val="125227776"/>
        <c:scaling>
          <c:orientation val="minMax"/>
        </c:scaling>
        <c:axPos val="b"/>
        <c:numFmt formatCode="#,##0.0" sourceLinked="1"/>
        <c:majorTickMark val="none"/>
        <c:tickLblPos val="nextTo"/>
        <c:crossAx val="125229312"/>
        <c:crosses val="autoZero"/>
        <c:crossBetween val="midCat"/>
      </c:valAx>
      <c:valAx>
        <c:axId val="125229312"/>
        <c:scaling>
          <c:orientation val="minMax"/>
        </c:scaling>
        <c:axPos val="l"/>
        <c:numFmt formatCode="#,##0.0" sourceLinked="1"/>
        <c:majorTickMark val="none"/>
        <c:tickLblPos val="nextTo"/>
        <c:crossAx val="125227776"/>
        <c:crosses val="autoZero"/>
        <c:crossBetween val="midCat"/>
      </c:valAx>
    </c:plotArea>
    <c:plotVisOnly val="1"/>
  </c:chart>
  <c:spPr>
    <a:ln>
      <a:noFill/>
    </a:ln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chart>
    <c:autoTitleDeleted val="1"/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'stocks project'!$H$76:$H$137</c:f>
              <c:numCache>
                <c:formatCode>#,##0.0</c:formatCode>
                <c:ptCount val="62"/>
                <c:pt idx="0">
                  <c:v>267.55999755859301</c:v>
                </c:pt>
                <c:pt idx="1">
                  <c:v>266.73001098632801</c:v>
                </c:pt>
                <c:pt idx="2">
                  <c:v>263.61999511718699</c:v>
                </c:pt>
                <c:pt idx="3">
                  <c:v>263.100006103515</c:v>
                </c:pt>
                <c:pt idx="4">
                  <c:v>271.32000732421801</c:v>
                </c:pt>
                <c:pt idx="5">
                  <c:v>272.17001342773398</c:v>
                </c:pt>
                <c:pt idx="6">
                  <c:v>269.32000732421801</c:v>
                </c:pt>
                <c:pt idx="7">
                  <c:v>262.14999389648398</c:v>
                </c:pt>
                <c:pt idx="8">
                  <c:v>258.05999755859301</c:v>
                </c:pt>
                <c:pt idx="9">
                  <c:v>252.669998168945</c:v>
                </c:pt>
                <c:pt idx="10">
                  <c:v>251.509994506835</c:v>
                </c:pt>
                <c:pt idx="11">
                  <c:v>254.77000427246</c:v>
                </c:pt>
                <c:pt idx="12">
                  <c:v>249.22000122070301</c:v>
                </c:pt>
                <c:pt idx="13">
                  <c:v>250.16000366210901</c:v>
                </c:pt>
                <c:pt idx="14">
                  <c:v>249.419998168945</c:v>
                </c:pt>
                <c:pt idx="15">
                  <c:v>246.27000427246</c:v>
                </c:pt>
                <c:pt idx="16">
                  <c:v>251.11000061035099</c:v>
                </c:pt>
                <c:pt idx="17">
                  <c:v>255.28999328613199</c:v>
                </c:pt>
                <c:pt idx="18">
                  <c:v>256.86999511718699</c:v>
                </c:pt>
                <c:pt idx="19">
                  <c:v>254.14999389648401</c:v>
                </c:pt>
                <c:pt idx="20">
                  <c:v>253.69999694824199</c:v>
                </c:pt>
                <c:pt idx="21">
                  <c:v>252.32000732421801</c:v>
                </c:pt>
                <c:pt idx="22">
                  <c:v>248.58999633789</c:v>
                </c:pt>
                <c:pt idx="23">
                  <c:v>253.919998168945</c:v>
                </c:pt>
                <c:pt idx="24">
                  <c:v>260.79000854492102</c:v>
                </c:pt>
                <c:pt idx="25">
                  <c:v>265.44000244140602</c:v>
                </c:pt>
                <c:pt idx="26">
                  <c:v>276.20001220703102</c:v>
                </c:pt>
                <c:pt idx="27">
                  <c:v>279.42999267578102</c:v>
                </c:pt>
                <c:pt idx="28">
                  <c:v>272.23001098632801</c:v>
                </c:pt>
                <c:pt idx="29">
                  <c:v>273.77999877929602</c:v>
                </c:pt>
                <c:pt idx="30">
                  <c:v>272.29000854492102</c:v>
                </c:pt>
                <c:pt idx="31">
                  <c:v>277.66000366210898</c:v>
                </c:pt>
                <c:pt idx="32">
                  <c:v>280.57000732421801</c:v>
                </c:pt>
                <c:pt idx="33">
                  <c:v>276.38000488281199</c:v>
                </c:pt>
                <c:pt idx="34">
                  <c:v>275.23001098632801</c:v>
                </c:pt>
                <c:pt idx="35">
                  <c:v>280.510009765625</c:v>
                </c:pt>
                <c:pt idx="36">
                  <c:v>284.04998779296801</c:v>
                </c:pt>
                <c:pt idx="37">
                  <c:v>288.29998779296801</c:v>
                </c:pt>
                <c:pt idx="38">
                  <c:v>287.23001098632801</c:v>
                </c:pt>
                <c:pt idx="39">
                  <c:v>287.17999267578102</c:v>
                </c:pt>
                <c:pt idx="40">
                  <c:v>284.33999633789</c:v>
                </c:pt>
                <c:pt idx="41">
                  <c:v>291.600006103515</c:v>
                </c:pt>
                <c:pt idx="42">
                  <c:v>289.39001464843699</c:v>
                </c:pt>
                <c:pt idx="43">
                  <c:v>282.829986572265</c:v>
                </c:pt>
                <c:pt idx="44">
                  <c:v>283.489990234375</c:v>
                </c:pt>
                <c:pt idx="45">
                  <c:v>289.83999633789</c:v>
                </c:pt>
                <c:pt idx="46">
                  <c:v>286.14001464843699</c:v>
                </c:pt>
                <c:pt idx="47">
                  <c:v>288.79998779296801</c:v>
                </c:pt>
                <c:pt idx="48">
                  <c:v>288.36999511718699</c:v>
                </c:pt>
                <c:pt idx="49">
                  <c:v>288.45001220703102</c:v>
                </c:pt>
                <c:pt idx="50">
                  <c:v>286.10998535156199</c:v>
                </c:pt>
                <c:pt idx="51">
                  <c:v>285.760009765625</c:v>
                </c:pt>
                <c:pt idx="52">
                  <c:v>281.76998901367102</c:v>
                </c:pt>
                <c:pt idx="53">
                  <c:v>275.42001342773398</c:v>
                </c:pt>
                <c:pt idx="54">
                  <c:v>295.36999511718699</c:v>
                </c:pt>
                <c:pt idx="55">
                  <c:v>304.829986572265</c:v>
                </c:pt>
                <c:pt idx="56">
                  <c:v>307.260009765625</c:v>
                </c:pt>
                <c:pt idx="57">
                  <c:v>305.55999755859301</c:v>
                </c:pt>
                <c:pt idx="58">
                  <c:v>305.41000366210898</c:v>
                </c:pt>
                <c:pt idx="59">
                  <c:v>304.39999389648398</c:v>
                </c:pt>
                <c:pt idx="60">
                  <c:v>305.41000366210898</c:v>
                </c:pt>
                <c:pt idx="61">
                  <c:v>310.64999389648398</c:v>
                </c:pt>
              </c:numCache>
            </c:numRef>
          </c:xVal>
          <c:yVal>
            <c:numRef>
              <c:f>'stocks project'!$J$76:$J$137</c:f>
              <c:numCache>
                <c:formatCode>#,##0.0</c:formatCode>
                <c:ptCount val="62"/>
                <c:pt idx="0">
                  <c:v>50841400</c:v>
                </c:pt>
                <c:pt idx="1">
                  <c:v>54686000</c:v>
                </c:pt>
                <c:pt idx="2">
                  <c:v>42375100</c:v>
                </c:pt>
                <c:pt idx="3">
                  <c:v>25818500</c:v>
                </c:pt>
                <c:pt idx="4">
                  <c:v>44630900</c:v>
                </c:pt>
                <c:pt idx="5">
                  <c:v>37047900</c:v>
                </c:pt>
                <c:pt idx="6">
                  <c:v>28922400</c:v>
                </c:pt>
                <c:pt idx="7">
                  <c:v>29603600</c:v>
                </c:pt>
                <c:pt idx="8">
                  <c:v>30000100</c:v>
                </c:pt>
                <c:pt idx="9">
                  <c:v>28397400</c:v>
                </c:pt>
                <c:pt idx="10">
                  <c:v>22491100</c:v>
                </c:pt>
                <c:pt idx="11">
                  <c:v>29219100</c:v>
                </c:pt>
                <c:pt idx="12">
                  <c:v>24990900</c:v>
                </c:pt>
                <c:pt idx="13">
                  <c:v>21190000</c:v>
                </c:pt>
                <c:pt idx="14">
                  <c:v>22491000</c:v>
                </c:pt>
                <c:pt idx="15">
                  <c:v>27565300</c:v>
                </c:pt>
                <c:pt idx="16">
                  <c:v>24808200</c:v>
                </c:pt>
                <c:pt idx="17">
                  <c:v>30760100</c:v>
                </c:pt>
                <c:pt idx="18">
                  <c:v>24109800</c:v>
                </c:pt>
                <c:pt idx="19">
                  <c:v>21473200</c:v>
                </c:pt>
                <c:pt idx="20">
                  <c:v>17340200</c:v>
                </c:pt>
                <c:pt idx="21">
                  <c:v>26653400</c:v>
                </c:pt>
                <c:pt idx="22">
                  <c:v>28333900</c:v>
                </c:pt>
                <c:pt idx="23">
                  <c:v>33339700</c:v>
                </c:pt>
                <c:pt idx="24">
                  <c:v>33620300</c:v>
                </c:pt>
                <c:pt idx="25">
                  <c:v>46028000</c:v>
                </c:pt>
                <c:pt idx="26">
                  <c:v>54768800</c:v>
                </c:pt>
                <c:pt idx="27">
                  <c:v>69527400</c:v>
                </c:pt>
                <c:pt idx="28">
                  <c:v>43466600</c:v>
                </c:pt>
                <c:pt idx="29">
                  <c:v>34558700</c:v>
                </c:pt>
                <c:pt idx="30">
                  <c:v>34873300</c:v>
                </c:pt>
                <c:pt idx="31">
                  <c:v>36610900</c:v>
                </c:pt>
                <c:pt idx="32">
                  <c:v>28172000</c:v>
                </c:pt>
                <c:pt idx="33">
                  <c:v>26840200</c:v>
                </c:pt>
                <c:pt idx="34">
                  <c:v>21878600</c:v>
                </c:pt>
                <c:pt idx="35">
                  <c:v>25087000</c:v>
                </c:pt>
                <c:pt idx="36">
                  <c:v>25053400</c:v>
                </c:pt>
                <c:pt idx="37">
                  <c:v>32766000</c:v>
                </c:pt>
                <c:pt idx="38">
                  <c:v>24883300</c:v>
                </c:pt>
                <c:pt idx="39">
                  <c:v>25824300</c:v>
                </c:pt>
                <c:pt idx="40">
                  <c:v>22064800</c:v>
                </c:pt>
                <c:pt idx="41">
                  <c:v>29770300</c:v>
                </c:pt>
                <c:pt idx="42">
                  <c:v>23103000</c:v>
                </c:pt>
                <c:pt idx="43">
                  <c:v>27276600</c:v>
                </c:pt>
                <c:pt idx="44">
                  <c:v>27403400</c:v>
                </c:pt>
                <c:pt idx="45">
                  <c:v>24222700</c:v>
                </c:pt>
                <c:pt idx="46">
                  <c:v>20987900</c:v>
                </c:pt>
                <c:pt idx="47">
                  <c:v>23836200</c:v>
                </c:pt>
                <c:pt idx="48">
                  <c:v>20161800</c:v>
                </c:pt>
                <c:pt idx="49">
                  <c:v>17150300</c:v>
                </c:pt>
                <c:pt idx="50">
                  <c:v>23244400</c:v>
                </c:pt>
                <c:pt idx="51">
                  <c:v>21676400</c:v>
                </c:pt>
                <c:pt idx="52">
                  <c:v>26611000</c:v>
                </c:pt>
                <c:pt idx="53">
                  <c:v>45772200</c:v>
                </c:pt>
                <c:pt idx="54">
                  <c:v>64599200</c:v>
                </c:pt>
                <c:pt idx="55">
                  <c:v>46462600</c:v>
                </c:pt>
                <c:pt idx="56">
                  <c:v>36446700</c:v>
                </c:pt>
                <c:pt idx="57">
                  <c:v>21294100</c:v>
                </c:pt>
                <c:pt idx="58">
                  <c:v>26404400</c:v>
                </c:pt>
                <c:pt idx="59">
                  <c:v>22360800</c:v>
                </c:pt>
                <c:pt idx="60">
                  <c:v>22519900</c:v>
                </c:pt>
                <c:pt idx="61">
                  <c:v>28181200</c:v>
                </c:pt>
              </c:numCache>
            </c:numRef>
          </c:yVal>
        </c:ser>
        <c:axId val="125269120"/>
        <c:axId val="125270656"/>
      </c:scatterChart>
      <c:valAx>
        <c:axId val="125269120"/>
        <c:scaling>
          <c:orientation val="minMax"/>
        </c:scaling>
        <c:axPos val="b"/>
        <c:numFmt formatCode="#,##0.0" sourceLinked="1"/>
        <c:majorTickMark val="none"/>
        <c:tickLblPos val="nextTo"/>
        <c:crossAx val="125270656"/>
        <c:crosses val="autoZero"/>
        <c:crossBetween val="midCat"/>
      </c:valAx>
      <c:valAx>
        <c:axId val="125270656"/>
        <c:scaling>
          <c:orientation val="minMax"/>
        </c:scaling>
        <c:axPos val="l"/>
        <c:numFmt formatCode="#,##0.0" sourceLinked="1"/>
        <c:majorTickMark val="none"/>
        <c:tickLblPos val="nextTo"/>
        <c:crossAx val="125269120"/>
        <c:crosses val="autoZero"/>
        <c:crossBetween val="midCat"/>
      </c:valAx>
    </c:plotArea>
    <c:plotVisOnly val="1"/>
  </c:chart>
  <c:spPr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chart>
    <c:autoTitleDeleted val="1"/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'stocks project'!$H$142:$H$203</c:f>
              <c:numCache>
                <c:formatCode>#,##0.0</c:formatCode>
                <c:ptCount val="62"/>
                <c:pt idx="0">
                  <c:v>362.95001220703102</c:v>
                </c:pt>
                <c:pt idx="1">
                  <c:v>366.829986572265</c:v>
                </c:pt>
                <c:pt idx="2">
                  <c:v>362.5</c:v>
                </c:pt>
                <c:pt idx="3">
                  <c:v>347.35998535156199</c:v>
                </c:pt>
                <c:pt idx="4">
                  <c:v>358.57000732421801</c:v>
                </c:pt>
                <c:pt idx="5">
                  <c:v>359.95999145507801</c:v>
                </c:pt>
                <c:pt idx="6">
                  <c:v>361.42001342773398</c:v>
                </c:pt>
                <c:pt idx="7">
                  <c:v>350.70999145507801</c:v>
                </c:pt>
                <c:pt idx="8">
                  <c:v>347.95999145507801</c:v>
                </c:pt>
                <c:pt idx="9">
                  <c:v>337.5</c:v>
                </c:pt>
                <c:pt idx="10">
                  <c:v>334.88000488281199</c:v>
                </c:pt>
                <c:pt idx="11">
                  <c:v>323.64999389648398</c:v>
                </c:pt>
                <c:pt idx="12">
                  <c:v>317.14999389648398</c:v>
                </c:pt>
                <c:pt idx="13">
                  <c:v>323.02999877929602</c:v>
                </c:pt>
                <c:pt idx="14">
                  <c:v>322.13000488281199</c:v>
                </c:pt>
                <c:pt idx="15">
                  <c:v>313.48001098632801</c:v>
                </c:pt>
                <c:pt idx="16">
                  <c:v>311.88000488281199</c:v>
                </c:pt>
                <c:pt idx="17">
                  <c:v>315.17999267578102</c:v>
                </c:pt>
                <c:pt idx="18">
                  <c:v>312.02999877929602</c:v>
                </c:pt>
                <c:pt idx="19">
                  <c:v>308.47000122070301</c:v>
                </c:pt>
                <c:pt idx="20">
                  <c:v>311.79000854492102</c:v>
                </c:pt>
                <c:pt idx="21">
                  <c:v>297.77999877929602</c:v>
                </c:pt>
                <c:pt idx="22">
                  <c:v>292.760009765625</c:v>
                </c:pt>
                <c:pt idx="23">
                  <c:v>293.510009765625</c:v>
                </c:pt>
                <c:pt idx="24">
                  <c:v>294.94000244140602</c:v>
                </c:pt>
                <c:pt idx="25">
                  <c:v>303.79000854492102</c:v>
                </c:pt>
                <c:pt idx="26">
                  <c:v>310.05999755859301</c:v>
                </c:pt>
                <c:pt idx="27">
                  <c:v>303.5</c:v>
                </c:pt>
                <c:pt idx="28">
                  <c:v>305.13000488281199</c:v>
                </c:pt>
                <c:pt idx="29">
                  <c:v>305.79000854492102</c:v>
                </c:pt>
                <c:pt idx="30">
                  <c:v>293.89999389648398</c:v>
                </c:pt>
                <c:pt idx="31">
                  <c:v>320.36999511718699</c:v>
                </c:pt>
                <c:pt idx="32">
                  <c:v>328.39001464843699</c:v>
                </c:pt>
                <c:pt idx="33">
                  <c:v>327.66000366210898</c:v>
                </c:pt>
                <c:pt idx="34">
                  <c:v>323.51998901367102</c:v>
                </c:pt>
                <c:pt idx="35">
                  <c:v>332.02999877929602</c:v>
                </c:pt>
                <c:pt idx="36">
                  <c:v>338.42999267578102</c:v>
                </c:pt>
                <c:pt idx="37">
                  <c:v>345.48001098632801</c:v>
                </c:pt>
                <c:pt idx="38">
                  <c:v>348.27999877929602</c:v>
                </c:pt>
                <c:pt idx="39">
                  <c:v>346.75</c:v>
                </c:pt>
                <c:pt idx="40">
                  <c:v>342.350006103515</c:v>
                </c:pt>
                <c:pt idx="41">
                  <c:v>339.329986572265</c:v>
                </c:pt>
                <c:pt idx="42">
                  <c:v>338.989990234375</c:v>
                </c:pt>
                <c:pt idx="43">
                  <c:v>338.20999145507801</c:v>
                </c:pt>
                <c:pt idx="44">
                  <c:v>331.02999877929602</c:v>
                </c:pt>
                <c:pt idx="45">
                  <c:v>346.19000244140602</c:v>
                </c:pt>
                <c:pt idx="46">
                  <c:v>338.63000488281199</c:v>
                </c:pt>
                <c:pt idx="47">
                  <c:v>332.72000122070301</c:v>
                </c:pt>
                <c:pt idx="48">
                  <c:v>333.70001220703102</c:v>
                </c:pt>
                <c:pt idx="49">
                  <c:v>323.11999511718699</c:v>
                </c:pt>
                <c:pt idx="50">
                  <c:v>325.350006103515</c:v>
                </c:pt>
                <c:pt idx="51">
                  <c:v>327.98001098632801</c:v>
                </c:pt>
                <c:pt idx="52">
                  <c:v>329.01998901367102</c:v>
                </c:pt>
                <c:pt idx="53">
                  <c:v>322.54998779296801</c:v>
                </c:pt>
                <c:pt idx="54">
                  <c:v>321.14999389648398</c:v>
                </c:pt>
                <c:pt idx="55">
                  <c:v>325.850006103515</c:v>
                </c:pt>
                <c:pt idx="56">
                  <c:v>329.92999267578102</c:v>
                </c:pt>
                <c:pt idx="57">
                  <c:v>324.11999511718699</c:v>
                </c:pt>
                <c:pt idx="58">
                  <c:v>317.54998779296801</c:v>
                </c:pt>
                <c:pt idx="59">
                  <c:v>319.29998779296801</c:v>
                </c:pt>
                <c:pt idx="60">
                  <c:v>320.77999877929602</c:v>
                </c:pt>
                <c:pt idx="61">
                  <c:v>322.760009765625</c:v>
                </c:pt>
              </c:numCache>
            </c:numRef>
          </c:xVal>
          <c:yVal>
            <c:numRef>
              <c:f>'stocks project'!$J$142:$J$203</c:f>
              <c:numCache>
                <c:formatCode>#,##0.0</c:formatCode>
                <c:ptCount val="62"/>
                <c:pt idx="0">
                  <c:v>6289400</c:v>
                </c:pt>
                <c:pt idx="1">
                  <c:v>6253200</c:v>
                </c:pt>
                <c:pt idx="2">
                  <c:v>6901100</c:v>
                </c:pt>
                <c:pt idx="3">
                  <c:v>7291100</c:v>
                </c:pt>
                <c:pt idx="4">
                  <c:v>7134400</c:v>
                </c:pt>
                <c:pt idx="5">
                  <c:v>4624800</c:v>
                </c:pt>
                <c:pt idx="6">
                  <c:v>3966000</c:v>
                </c:pt>
                <c:pt idx="7">
                  <c:v>5215700</c:v>
                </c:pt>
                <c:pt idx="8">
                  <c:v>5294700</c:v>
                </c:pt>
                <c:pt idx="9">
                  <c:v>5710300</c:v>
                </c:pt>
                <c:pt idx="10">
                  <c:v>4546200</c:v>
                </c:pt>
                <c:pt idx="11">
                  <c:v>13238700</c:v>
                </c:pt>
                <c:pt idx="12">
                  <c:v>6830700</c:v>
                </c:pt>
                <c:pt idx="13">
                  <c:v>6142600</c:v>
                </c:pt>
                <c:pt idx="14">
                  <c:v>3676100</c:v>
                </c:pt>
                <c:pt idx="15">
                  <c:v>4911300</c:v>
                </c:pt>
                <c:pt idx="16">
                  <c:v>4911000</c:v>
                </c:pt>
                <c:pt idx="17">
                  <c:v>5953300</c:v>
                </c:pt>
                <c:pt idx="18">
                  <c:v>5660700</c:v>
                </c:pt>
                <c:pt idx="19">
                  <c:v>4553100</c:v>
                </c:pt>
                <c:pt idx="20">
                  <c:v>3479500</c:v>
                </c:pt>
                <c:pt idx="21">
                  <c:v>7443400</c:v>
                </c:pt>
                <c:pt idx="22">
                  <c:v>5759300</c:v>
                </c:pt>
                <c:pt idx="23">
                  <c:v>6292400</c:v>
                </c:pt>
                <c:pt idx="24">
                  <c:v>5956700</c:v>
                </c:pt>
                <c:pt idx="25">
                  <c:v>9215300</c:v>
                </c:pt>
                <c:pt idx="26">
                  <c:v>7903700</c:v>
                </c:pt>
                <c:pt idx="27">
                  <c:v>6918800</c:v>
                </c:pt>
                <c:pt idx="28">
                  <c:v>5113400</c:v>
                </c:pt>
                <c:pt idx="29">
                  <c:v>4886300</c:v>
                </c:pt>
                <c:pt idx="30">
                  <c:v>5808000</c:v>
                </c:pt>
                <c:pt idx="31">
                  <c:v>15653300</c:v>
                </c:pt>
                <c:pt idx="32">
                  <c:v>12991700</c:v>
                </c:pt>
                <c:pt idx="33">
                  <c:v>8625800</c:v>
                </c:pt>
                <c:pt idx="34">
                  <c:v>6489400</c:v>
                </c:pt>
                <c:pt idx="35">
                  <c:v>6287300</c:v>
                </c:pt>
                <c:pt idx="36">
                  <c:v>7131500</c:v>
                </c:pt>
                <c:pt idx="37">
                  <c:v>5610200</c:v>
                </c:pt>
                <c:pt idx="38">
                  <c:v>4413700</c:v>
                </c:pt>
                <c:pt idx="39">
                  <c:v>3298100</c:v>
                </c:pt>
                <c:pt idx="40">
                  <c:v>4205500</c:v>
                </c:pt>
                <c:pt idx="41">
                  <c:v>4660500</c:v>
                </c:pt>
                <c:pt idx="42">
                  <c:v>2657900</c:v>
                </c:pt>
                <c:pt idx="43">
                  <c:v>4044800</c:v>
                </c:pt>
                <c:pt idx="44">
                  <c:v>3965400</c:v>
                </c:pt>
                <c:pt idx="45">
                  <c:v>7406400</c:v>
                </c:pt>
                <c:pt idx="46">
                  <c:v>5350500</c:v>
                </c:pt>
                <c:pt idx="47">
                  <c:v>6136000</c:v>
                </c:pt>
                <c:pt idx="48">
                  <c:v>17944500</c:v>
                </c:pt>
                <c:pt idx="49">
                  <c:v>22128300</c:v>
                </c:pt>
                <c:pt idx="50">
                  <c:v>9947800</c:v>
                </c:pt>
                <c:pt idx="51">
                  <c:v>6348000</c:v>
                </c:pt>
                <c:pt idx="52">
                  <c:v>5586600</c:v>
                </c:pt>
                <c:pt idx="53">
                  <c:v>5426600</c:v>
                </c:pt>
                <c:pt idx="54">
                  <c:v>4623200</c:v>
                </c:pt>
                <c:pt idx="55">
                  <c:v>5618800</c:v>
                </c:pt>
                <c:pt idx="56">
                  <c:v>4221900</c:v>
                </c:pt>
                <c:pt idx="57">
                  <c:v>5341500</c:v>
                </c:pt>
                <c:pt idx="58">
                  <c:v>4318600</c:v>
                </c:pt>
                <c:pt idx="59">
                  <c:v>5064100</c:v>
                </c:pt>
                <c:pt idx="60">
                  <c:v>3879700</c:v>
                </c:pt>
                <c:pt idx="61">
                  <c:v>3988600</c:v>
                </c:pt>
              </c:numCache>
            </c:numRef>
          </c:yVal>
        </c:ser>
        <c:axId val="125281792"/>
        <c:axId val="125283328"/>
      </c:scatterChart>
      <c:valAx>
        <c:axId val="125281792"/>
        <c:scaling>
          <c:orientation val="minMax"/>
        </c:scaling>
        <c:axPos val="b"/>
        <c:numFmt formatCode="#,##0.0" sourceLinked="1"/>
        <c:majorTickMark val="none"/>
        <c:tickLblPos val="nextTo"/>
        <c:crossAx val="125283328"/>
        <c:crosses val="autoZero"/>
        <c:crossBetween val="midCat"/>
      </c:valAx>
      <c:valAx>
        <c:axId val="125283328"/>
        <c:scaling>
          <c:orientation val="minMax"/>
        </c:scaling>
        <c:axPos val="l"/>
        <c:numFmt formatCode="#,##0.0" sourceLinked="1"/>
        <c:majorTickMark val="none"/>
        <c:tickLblPos val="nextTo"/>
        <c:crossAx val="125281792"/>
        <c:crosses val="autoZero"/>
        <c:crossBetween val="midCat"/>
      </c:valAx>
    </c:plotArea>
    <c:plotVisOnly val="1"/>
  </c:chart>
  <c:spPr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chart>
    <c:autoTitleDeleted val="1"/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'stocks project'!$H$208:$H$269</c:f>
              <c:numCache>
                <c:formatCode>#,##0.0</c:formatCode>
                <c:ptCount val="62"/>
                <c:pt idx="0">
                  <c:v>108.040000915527</c:v>
                </c:pt>
                <c:pt idx="1">
                  <c:v>100</c:v>
                </c:pt>
                <c:pt idx="2">
                  <c:v>95.459999084472599</c:v>
                </c:pt>
                <c:pt idx="3">
                  <c:v>94.860000610351506</c:v>
                </c:pt>
                <c:pt idx="4">
                  <c:v>95</c:v>
                </c:pt>
                <c:pt idx="5">
                  <c:v>94.949996948242102</c:v>
                </c:pt>
                <c:pt idx="6">
                  <c:v>97.099998474121094</c:v>
                </c:pt>
                <c:pt idx="7">
                  <c:v>95.779998779296804</c:v>
                </c:pt>
                <c:pt idx="8">
                  <c:v>94.589996337890597</c:v>
                </c:pt>
                <c:pt idx="9">
                  <c:v>92.050003051757798</c:v>
                </c:pt>
                <c:pt idx="10">
                  <c:v>91.800003051757798</c:v>
                </c:pt>
                <c:pt idx="11">
                  <c:v>91.069999694824205</c:v>
                </c:pt>
                <c:pt idx="12">
                  <c:v>89.349998474121094</c:v>
                </c:pt>
                <c:pt idx="13">
                  <c:v>90.099998474121094</c:v>
                </c:pt>
                <c:pt idx="14">
                  <c:v>90.300003051757798</c:v>
                </c:pt>
                <c:pt idx="15">
                  <c:v>90.510002136230398</c:v>
                </c:pt>
                <c:pt idx="16">
                  <c:v>92.309997558593693</c:v>
                </c:pt>
                <c:pt idx="17">
                  <c:v>94.019996643066406</c:v>
                </c:pt>
                <c:pt idx="18">
                  <c:v>95.580001831054602</c:v>
                </c:pt>
                <c:pt idx="19">
                  <c:v>94.169998168945298</c:v>
                </c:pt>
                <c:pt idx="20">
                  <c:v>94.650001525878906</c:v>
                </c:pt>
                <c:pt idx="21">
                  <c:v>92.660003662109304</c:v>
                </c:pt>
                <c:pt idx="22">
                  <c:v>91.010002136230398</c:v>
                </c:pt>
                <c:pt idx="23">
                  <c:v>91.660003662109304</c:v>
                </c:pt>
                <c:pt idx="24">
                  <c:v>94.25</c:v>
                </c:pt>
                <c:pt idx="25">
                  <c:v>96.550003051757798</c:v>
                </c:pt>
                <c:pt idx="26">
                  <c:v>101.06999969482401</c:v>
                </c:pt>
                <c:pt idx="27">
                  <c:v>102.459999084472</c:v>
                </c:pt>
                <c:pt idx="28">
                  <c:v>101.930000305175</c:v>
                </c:pt>
                <c:pt idx="29">
                  <c:v>105.83999633789</c:v>
                </c:pt>
                <c:pt idx="30">
                  <c:v>104.220001220703</c:v>
                </c:pt>
                <c:pt idx="31">
                  <c:v>106.26000213623</c:v>
                </c:pt>
                <c:pt idx="32">
                  <c:v>106.059997558593</c:v>
                </c:pt>
                <c:pt idx="33">
                  <c:v>103.059997558593</c:v>
                </c:pt>
                <c:pt idx="34">
                  <c:v>101.36000061035099</c:v>
                </c:pt>
                <c:pt idx="35">
                  <c:v>101.900001525878</c:v>
                </c:pt>
                <c:pt idx="36">
                  <c:v>101.31999969482401</c:v>
                </c:pt>
                <c:pt idx="37">
                  <c:v>104</c:v>
                </c:pt>
                <c:pt idx="38">
                  <c:v>104.91000366210901</c:v>
                </c:pt>
                <c:pt idx="39">
                  <c:v>105.120002746582</c:v>
                </c:pt>
                <c:pt idx="40">
                  <c:v>104.949996948242</c:v>
                </c:pt>
                <c:pt idx="41">
                  <c:v>108.900001525878</c:v>
                </c:pt>
                <c:pt idx="42">
                  <c:v>106.949996948242</c:v>
                </c:pt>
                <c:pt idx="43">
                  <c:v>106.120002746582</c:v>
                </c:pt>
                <c:pt idx="44">
                  <c:v>105.220001220703</c:v>
                </c:pt>
                <c:pt idx="45">
                  <c:v>108.19000244140599</c:v>
                </c:pt>
                <c:pt idx="46">
                  <c:v>109.459999084472</c:v>
                </c:pt>
                <c:pt idx="47">
                  <c:v>106.419998168945</c:v>
                </c:pt>
                <c:pt idx="48">
                  <c:v>105.120002746582</c:v>
                </c:pt>
                <c:pt idx="49">
                  <c:v>105.01999664306599</c:v>
                </c:pt>
                <c:pt idx="50">
                  <c:v>105.900001525878</c:v>
                </c:pt>
                <c:pt idx="51">
                  <c:v>105.91000366210901</c:v>
                </c:pt>
                <c:pt idx="52">
                  <c:v>106.77999877929599</c:v>
                </c:pt>
                <c:pt idx="53">
                  <c:v>104.61000061035099</c:v>
                </c:pt>
                <c:pt idx="54">
                  <c:v>104.449996948242</c:v>
                </c:pt>
                <c:pt idx="55">
                  <c:v>108.370002746582</c:v>
                </c:pt>
                <c:pt idx="56">
                  <c:v>108.220001220703</c:v>
                </c:pt>
                <c:pt idx="57">
                  <c:v>107.709999084472</c:v>
                </c:pt>
                <c:pt idx="58">
                  <c:v>105.980003356933</c:v>
                </c:pt>
                <c:pt idx="59">
                  <c:v>106.120002746582</c:v>
                </c:pt>
                <c:pt idx="60">
                  <c:v>105.209999084472</c:v>
                </c:pt>
                <c:pt idx="61">
                  <c:v>106.21499633789</c:v>
                </c:pt>
              </c:numCache>
            </c:numRef>
          </c:xVal>
          <c:yVal>
            <c:numRef>
              <c:f>'stocks project'!$J$208:$J$269</c:f>
              <c:numCache>
                <c:formatCode>#,##0.0</c:formatCode>
                <c:ptCount val="62"/>
                <c:pt idx="0">
                  <c:v>33738800</c:v>
                </c:pt>
                <c:pt idx="1">
                  <c:v>73546000</c:v>
                </c:pt>
                <c:pt idx="2">
                  <c:v>97798600</c:v>
                </c:pt>
                <c:pt idx="3">
                  <c:v>49325300</c:v>
                </c:pt>
                <c:pt idx="4">
                  <c:v>43116600</c:v>
                </c:pt>
                <c:pt idx="5">
                  <c:v>42513100</c:v>
                </c:pt>
                <c:pt idx="6">
                  <c:v>36964500</c:v>
                </c:pt>
                <c:pt idx="7">
                  <c:v>35642100</c:v>
                </c:pt>
                <c:pt idx="8">
                  <c:v>31095100</c:v>
                </c:pt>
                <c:pt idx="9">
                  <c:v>28367200</c:v>
                </c:pt>
                <c:pt idx="10">
                  <c:v>29891100</c:v>
                </c:pt>
                <c:pt idx="11">
                  <c:v>32423700</c:v>
                </c:pt>
                <c:pt idx="12">
                  <c:v>31295600</c:v>
                </c:pt>
                <c:pt idx="13">
                  <c:v>22724300</c:v>
                </c:pt>
                <c:pt idx="14">
                  <c:v>30546900</c:v>
                </c:pt>
                <c:pt idx="15">
                  <c:v>26323900</c:v>
                </c:pt>
                <c:pt idx="16">
                  <c:v>23328600</c:v>
                </c:pt>
                <c:pt idx="17">
                  <c:v>30242500</c:v>
                </c:pt>
                <c:pt idx="18">
                  <c:v>28288200</c:v>
                </c:pt>
                <c:pt idx="19">
                  <c:v>24101500</c:v>
                </c:pt>
                <c:pt idx="20">
                  <c:v>25395200</c:v>
                </c:pt>
                <c:pt idx="21">
                  <c:v>24438900</c:v>
                </c:pt>
                <c:pt idx="22">
                  <c:v>32850100</c:v>
                </c:pt>
                <c:pt idx="23">
                  <c:v>31508600</c:v>
                </c:pt>
                <c:pt idx="24">
                  <c:v>32303900</c:v>
                </c:pt>
                <c:pt idx="25">
                  <c:v>38367300</c:v>
                </c:pt>
                <c:pt idx="26">
                  <c:v>54499500</c:v>
                </c:pt>
                <c:pt idx="27">
                  <c:v>76140300</c:v>
                </c:pt>
                <c:pt idx="28">
                  <c:v>26033900</c:v>
                </c:pt>
                <c:pt idx="29">
                  <c:v>33122800</c:v>
                </c:pt>
                <c:pt idx="30">
                  <c:v>32336900</c:v>
                </c:pt>
                <c:pt idx="31">
                  <c:v>31385800</c:v>
                </c:pt>
                <c:pt idx="32">
                  <c:v>25245000</c:v>
                </c:pt>
                <c:pt idx="33">
                  <c:v>25393400</c:v>
                </c:pt>
                <c:pt idx="34">
                  <c:v>24913500</c:v>
                </c:pt>
                <c:pt idx="35">
                  <c:v>26148300</c:v>
                </c:pt>
                <c:pt idx="36">
                  <c:v>25009800</c:v>
                </c:pt>
                <c:pt idx="37">
                  <c:v>28086500</c:v>
                </c:pt>
                <c:pt idx="38">
                  <c:v>20719900</c:v>
                </c:pt>
                <c:pt idx="39">
                  <c:v>20377200</c:v>
                </c:pt>
                <c:pt idx="40">
                  <c:v>21864200</c:v>
                </c:pt>
                <c:pt idx="41">
                  <c:v>34684200</c:v>
                </c:pt>
                <c:pt idx="42">
                  <c:v>19741500</c:v>
                </c:pt>
                <c:pt idx="43">
                  <c:v>18721300</c:v>
                </c:pt>
                <c:pt idx="44">
                  <c:v>22761600</c:v>
                </c:pt>
                <c:pt idx="45">
                  <c:v>21650700</c:v>
                </c:pt>
                <c:pt idx="46">
                  <c:v>20745400</c:v>
                </c:pt>
                <c:pt idx="47">
                  <c:v>29043400</c:v>
                </c:pt>
                <c:pt idx="48">
                  <c:v>17641400</c:v>
                </c:pt>
                <c:pt idx="49">
                  <c:v>16732000</c:v>
                </c:pt>
                <c:pt idx="50">
                  <c:v>22515300</c:v>
                </c:pt>
                <c:pt idx="51">
                  <c:v>22369800</c:v>
                </c:pt>
                <c:pt idx="52">
                  <c:v>21410900</c:v>
                </c:pt>
                <c:pt idx="53">
                  <c:v>31408100</c:v>
                </c:pt>
                <c:pt idx="54">
                  <c:v>37068200</c:v>
                </c:pt>
                <c:pt idx="55">
                  <c:v>38235200</c:v>
                </c:pt>
                <c:pt idx="56">
                  <c:v>23957900</c:v>
                </c:pt>
                <c:pt idx="57">
                  <c:v>20926300</c:v>
                </c:pt>
                <c:pt idx="58">
                  <c:v>20343100</c:v>
                </c:pt>
                <c:pt idx="59">
                  <c:v>17116300</c:v>
                </c:pt>
                <c:pt idx="60">
                  <c:v>19780600</c:v>
                </c:pt>
                <c:pt idx="61">
                  <c:v>20705300</c:v>
                </c:pt>
              </c:numCache>
            </c:numRef>
          </c:yVal>
        </c:ser>
        <c:axId val="125302656"/>
        <c:axId val="125304192"/>
      </c:scatterChart>
      <c:valAx>
        <c:axId val="125302656"/>
        <c:scaling>
          <c:orientation val="minMax"/>
        </c:scaling>
        <c:axPos val="b"/>
        <c:numFmt formatCode="#,##0.0" sourceLinked="1"/>
        <c:majorTickMark val="none"/>
        <c:tickLblPos val="nextTo"/>
        <c:crossAx val="125304192"/>
        <c:crosses val="autoZero"/>
        <c:crossBetween val="midCat"/>
      </c:valAx>
      <c:valAx>
        <c:axId val="125304192"/>
        <c:scaling>
          <c:orientation val="minMax"/>
        </c:scaling>
        <c:axPos val="l"/>
        <c:numFmt formatCode="#,##0.0" sourceLinked="1"/>
        <c:majorTickMark val="none"/>
        <c:tickLblPos val="nextTo"/>
        <c:crossAx val="125302656"/>
        <c:crosses val="autoZero"/>
        <c:crossBetween val="midCat"/>
      </c:valAx>
    </c:plotArea>
    <c:plotVisOnly val="1"/>
  </c:chart>
  <c:spPr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strRef>
              <c:f>'stocks project'!$E$8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rgbClr val="C7A7B0"/>
            </a:solidFill>
            <a:ln w="28575">
              <a:noFill/>
            </a:ln>
          </c:spPr>
          <c:val>
            <c:numRef>
              <c:f>'stocks project'!$E$9:$E$71</c:f>
              <c:numCache>
                <c:formatCode>#,##0.0</c:formatCode>
                <c:ptCount val="63"/>
                <c:pt idx="1">
                  <c:v>150.63999938964801</c:v>
                </c:pt>
                <c:pt idx="2">
                  <c:v>153.88000488281199</c:v>
                </c:pt>
                <c:pt idx="3">
                  <c:v>153.77999877929599</c:v>
                </c:pt>
                <c:pt idx="4">
                  <c:v>149.46000671386699</c:v>
                </c:pt>
                <c:pt idx="5">
                  <c:v>150.94999694824199</c:v>
                </c:pt>
                <c:pt idx="6">
                  <c:v>152.11999511718699</c:v>
                </c:pt>
                <c:pt idx="7">
                  <c:v>153.11000061035099</c:v>
                </c:pt>
                <c:pt idx="8">
                  <c:v>153.509994506835</c:v>
                </c:pt>
                <c:pt idx="9">
                  <c:v>152.350006103515</c:v>
                </c:pt>
                <c:pt idx="10">
                  <c:v>150.19999694824199</c:v>
                </c:pt>
                <c:pt idx="11">
                  <c:v>148.86999511718699</c:v>
                </c:pt>
                <c:pt idx="12">
                  <c:v>150.08999633789</c:v>
                </c:pt>
                <c:pt idx="13">
                  <c:v>147.11000061035099</c:v>
                </c:pt>
                <c:pt idx="14">
                  <c:v>147.71000671386699</c:v>
                </c:pt>
                <c:pt idx="15">
                  <c:v>147.05000305175699</c:v>
                </c:pt>
                <c:pt idx="16">
                  <c:v>146.83000183105401</c:v>
                </c:pt>
                <c:pt idx="17">
                  <c:v>144.38000488281199</c:v>
                </c:pt>
                <c:pt idx="18">
                  <c:v>148.03999328613199</c:v>
                </c:pt>
                <c:pt idx="19">
                  <c:v>153.78999328613199</c:v>
                </c:pt>
                <c:pt idx="20">
                  <c:v>153.69999694824199</c:v>
                </c:pt>
                <c:pt idx="21">
                  <c:v>152.80999755859301</c:v>
                </c:pt>
                <c:pt idx="22">
                  <c:v>153.55999755859301</c:v>
                </c:pt>
                <c:pt idx="23">
                  <c:v>150.21000671386699</c:v>
                </c:pt>
                <c:pt idx="24">
                  <c:v>147.80999755859301</c:v>
                </c:pt>
                <c:pt idx="25">
                  <c:v>151.27999877929599</c:v>
                </c:pt>
                <c:pt idx="26">
                  <c:v>151.19000244140599</c:v>
                </c:pt>
                <c:pt idx="27">
                  <c:v>152.16000366210901</c:v>
                </c:pt>
                <c:pt idx="28">
                  <c:v>156.08000183105401</c:v>
                </c:pt>
                <c:pt idx="29">
                  <c:v>155.07000732421801</c:v>
                </c:pt>
                <c:pt idx="30">
                  <c:v>157.32000732421801</c:v>
                </c:pt>
                <c:pt idx="31">
                  <c:v>159.30000305175699</c:v>
                </c:pt>
                <c:pt idx="32">
                  <c:v>158.83000183105401</c:v>
                </c:pt>
                <c:pt idx="33">
                  <c:v>158.86000061035099</c:v>
                </c:pt>
                <c:pt idx="34">
                  <c:v>159.94000244140599</c:v>
                </c:pt>
                <c:pt idx="35">
                  <c:v>157.97000122070301</c:v>
                </c:pt>
                <c:pt idx="36">
                  <c:v>159.36999511718699</c:v>
                </c:pt>
                <c:pt idx="37">
                  <c:v>161.52999877929599</c:v>
                </c:pt>
                <c:pt idx="38">
                  <c:v>162.44000244140599</c:v>
                </c:pt>
                <c:pt idx="39">
                  <c:v>164.27000427246</c:v>
                </c:pt>
                <c:pt idx="40">
                  <c:v>166.600006103515</c:v>
                </c:pt>
                <c:pt idx="41">
                  <c:v>164.74000549316401</c:v>
                </c:pt>
                <c:pt idx="42">
                  <c:v>162.42999267578099</c:v>
                </c:pt>
                <c:pt idx="43">
                  <c:v>161.419998168945</c:v>
                </c:pt>
                <c:pt idx="44">
                  <c:v>162.350006103515</c:v>
                </c:pt>
                <c:pt idx="45">
                  <c:v>161.22000122070301</c:v>
                </c:pt>
                <c:pt idx="46">
                  <c:v>161.63000488281199</c:v>
                </c:pt>
                <c:pt idx="47">
                  <c:v>164.58999633789</c:v>
                </c:pt>
                <c:pt idx="48">
                  <c:v>165.08999633789</c:v>
                </c:pt>
                <c:pt idx="49">
                  <c:v>166.100006103515</c:v>
                </c:pt>
                <c:pt idx="50">
                  <c:v>165.80000305175699</c:v>
                </c:pt>
                <c:pt idx="51">
                  <c:v>166.08999633789</c:v>
                </c:pt>
                <c:pt idx="52">
                  <c:v>165.05000305175699</c:v>
                </c:pt>
                <c:pt idx="53">
                  <c:v>165</c:v>
                </c:pt>
                <c:pt idx="54">
                  <c:v>165.19000244140599</c:v>
                </c:pt>
                <c:pt idx="55">
                  <c:v>163.05999755859301</c:v>
                </c:pt>
                <c:pt idx="56">
                  <c:v>165.19000244140599</c:v>
                </c:pt>
                <c:pt idx="57">
                  <c:v>168.49000549316401</c:v>
                </c:pt>
                <c:pt idx="58">
                  <c:v>169.27999877929599</c:v>
                </c:pt>
                <c:pt idx="59">
                  <c:v>170.08999633789</c:v>
                </c:pt>
                <c:pt idx="60">
                  <c:v>169.5</c:v>
                </c:pt>
                <c:pt idx="61">
                  <c:v>164.88999938964801</c:v>
                </c:pt>
                <c:pt idx="62">
                  <c:v>170.97999572753901</c:v>
                </c:pt>
              </c:numCache>
            </c:numRef>
          </c:val>
        </c:ser>
        <c:dLbls/>
        <c:axId val="71595136"/>
        <c:axId val="71606656"/>
      </c:barChart>
      <c:stockChart>
        <c:ser>
          <c:idx val="1"/>
          <c:order val="1"/>
          <c:tx>
            <c:strRef>
              <c:f>'stocks project'!$F$8</c:f>
              <c:strCache>
                <c:ptCount val="1"/>
                <c:pt idx="0">
                  <c:v>High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val>
            <c:numRef>
              <c:f>'stocks project'!$F$9:$F$71</c:f>
              <c:numCache>
                <c:formatCode>#,##0.0</c:formatCode>
                <c:ptCount val="63"/>
                <c:pt idx="1">
                  <c:v>155.22999572753901</c:v>
                </c:pt>
                <c:pt idx="2">
                  <c:v>154.58000183105401</c:v>
                </c:pt>
                <c:pt idx="3">
                  <c:v>154.33000183105401</c:v>
                </c:pt>
                <c:pt idx="4">
                  <c:v>151.33999633789</c:v>
                </c:pt>
                <c:pt idx="5">
                  <c:v>154.259994506835</c:v>
                </c:pt>
                <c:pt idx="6">
                  <c:v>153.77000427246</c:v>
                </c:pt>
                <c:pt idx="7">
                  <c:v>155.5</c:v>
                </c:pt>
                <c:pt idx="8">
                  <c:v>156.33000183105401</c:v>
                </c:pt>
                <c:pt idx="9">
                  <c:v>153</c:v>
                </c:pt>
                <c:pt idx="10">
                  <c:v>151.30000305175699</c:v>
                </c:pt>
                <c:pt idx="11">
                  <c:v>149.94999694824199</c:v>
                </c:pt>
                <c:pt idx="12">
                  <c:v>150.33999633789</c:v>
                </c:pt>
                <c:pt idx="13">
                  <c:v>147.19000244140599</c:v>
                </c:pt>
                <c:pt idx="14">
                  <c:v>149.169998168945</c:v>
                </c:pt>
                <c:pt idx="15">
                  <c:v>149.08000183105401</c:v>
                </c:pt>
                <c:pt idx="16">
                  <c:v>147.22999572753901</c:v>
                </c:pt>
                <c:pt idx="17">
                  <c:v>146.71000671386699</c:v>
                </c:pt>
                <c:pt idx="18">
                  <c:v>151.11000061035099</c:v>
                </c:pt>
                <c:pt idx="19">
                  <c:v>156.30000305175699</c:v>
                </c:pt>
                <c:pt idx="20">
                  <c:v>154.02999877929599</c:v>
                </c:pt>
                <c:pt idx="21">
                  <c:v>153.47000122070301</c:v>
                </c:pt>
                <c:pt idx="22">
                  <c:v>154.53999328613199</c:v>
                </c:pt>
                <c:pt idx="23">
                  <c:v>150.94000244140599</c:v>
                </c:pt>
                <c:pt idx="24">
                  <c:v>153.13999938964801</c:v>
                </c:pt>
                <c:pt idx="25">
                  <c:v>153.39999389648401</c:v>
                </c:pt>
                <c:pt idx="26">
                  <c:v>153.25</c:v>
                </c:pt>
                <c:pt idx="27">
                  <c:v>156.46000671386699</c:v>
                </c:pt>
                <c:pt idx="28">
                  <c:v>156.74000549316401</c:v>
                </c:pt>
                <c:pt idx="29">
                  <c:v>157.82000732421801</c:v>
                </c:pt>
                <c:pt idx="30">
                  <c:v>159.39999389648401</c:v>
                </c:pt>
                <c:pt idx="31">
                  <c:v>162.13999938964801</c:v>
                </c:pt>
                <c:pt idx="32">
                  <c:v>161.55000305175699</c:v>
                </c:pt>
                <c:pt idx="33">
                  <c:v>160.33999633789</c:v>
                </c:pt>
                <c:pt idx="34">
                  <c:v>160.77000427246</c:v>
                </c:pt>
                <c:pt idx="35">
                  <c:v>158.49000549316401</c:v>
                </c:pt>
                <c:pt idx="36">
                  <c:v>161.05000305175699</c:v>
                </c:pt>
                <c:pt idx="37">
                  <c:v>162.47000122070301</c:v>
                </c:pt>
                <c:pt idx="38">
                  <c:v>165</c:v>
                </c:pt>
                <c:pt idx="39">
                  <c:v>166.28999328613199</c:v>
                </c:pt>
                <c:pt idx="40">
                  <c:v>166.83999633789</c:v>
                </c:pt>
                <c:pt idx="41">
                  <c:v>165.05000305175699</c:v>
                </c:pt>
                <c:pt idx="42">
                  <c:v>164.96000671386699</c:v>
                </c:pt>
                <c:pt idx="43">
                  <c:v>162.02999877929599</c:v>
                </c:pt>
                <c:pt idx="44">
                  <c:v>162.36000061035099</c:v>
                </c:pt>
                <c:pt idx="45">
                  <c:v>162.05999755859301</c:v>
                </c:pt>
                <c:pt idx="46">
                  <c:v>165.80000305175699</c:v>
                </c:pt>
                <c:pt idx="47">
                  <c:v>166.32000732421801</c:v>
                </c:pt>
                <c:pt idx="48">
                  <c:v>165.38999938964801</c:v>
                </c:pt>
                <c:pt idx="49">
                  <c:v>167.41000366210901</c:v>
                </c:pt>
                <c:pt idx="50">
                  <c:v>168.16000366210901</c:v>
                </c:pt>
                <c:pt idx="51">
                  <c:v>167.86999511718699</c:v>
                </c:pt>
                <c:pt idx="52">
                  <c:v>166.44999694824199</c:v>
                </c:pt>
                <c:pt idx="53">
                  <c:v>165.600006103515</c:v>
                </c:pt>
                <c:pt idx="54">
                  <c:v>166.30999755859301</c:v>
                </c:pt>
                <c:pt idx="55">
                  <c:v>165.27999877929599</c:v>
                </c:pt>
                <c:pt idx="56">
                  <c:v>168.55999755859301</c:v>
                </c:pt>
                <c:pt idx="57">
                  <c:v>169.850006103515</c:v>
                </c:pt>
                <c:pt idx="58">
                  <c:v>170.44999694824199</c:v>
                </c:pt>
                <c:pt idx="59">
                  <c:v>170.350006103515</c:v>
                </c:pt>
                <c:pt idx="60">
                  <c:v>170.919998168945</c:v>
                </c:pt>
                <c:pt idx="61">
                  <c:v>167.03999328613199</c:v>
                </c:pt>
                <c:pt idx="62">
                  <c:v>174.30000305175699</c:v>
                </c:pt>
              </c:numCache>
            </c:numRef>
          </c:val>
        </c:ser>
        <c:ser>
          <c:idx val="2"/>
          <c:order val="2"/>
          <c:tx>
            <c:strRef>
              <c:f>'stocks project'!$G$8</c:f>
              <c:strCache>
                <c:ptCount val="1"/>
                <c:pt idx="0">
                  <c:v>Low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val>
            <c:numRef>
              <c:f>'stocks project'!$G$9:$G$71</c:f>
              <c:numCache>
                <c:formatCode>#,##0.0</c:formatCode>
                <c:ptCount val="63"/>
                <c:pt idx="1">
                  <c:v>150.63999938964801</c:v>
                </c:pt>
                <c:pt idx="2">
                  <c:v>151.169998168945</c:v>
                </c:pt>
                <c:pt idx="3">
                  <c:v>150.419998168945</c:v>
                </c:pt>
                <c:pt idx="4">
                  <c:v>149.22000122070301</c:v>
                </c:pt>
                <c:pt idx="5">
                  <c:v>150.919998168945</c:v>
                </c:pt>
                <c:pt idx="6">
                  <c:v>150.86000061035099</c:v>
                </c:pt>
                <c:pt idx="7">
                  <c:v>152.88000488281199</c:v>
                </c:pt>
                <c:pt idx="8">
                  <c:v>153.350006103515</c:v>
                </c:pt>
                <c:pt idx="9">
                  <c:v>150.850006103515</c:v>
                </c:pt>
                <c:pt idx="10">
                  <c:v>148.41000366210901</c:v>
                </c:pt>
                <c:pt idx="11">
                  <c:v>147.16000366210901</c:v>
                </c:pt>
                <c:pt idx="12">
                  <c:v>147.24000549316401</c:v>
                </c:pt>
                <c:pt idx="13">
                  <c:v>145.72000122070301</c:v>
                </c:pt>
                <c:pt idx="14">
                  <c:v>147.44999694824199</c:v>
                </c:pt>
                <c:pt idx="15">
                  <c:v>146.83000183105401</c:v>
                </c:pt>
                <c:pt idx="16">
                  <c:v>145.009994506835</c:v>
                </c:pt>
                <c:pt idx="17">
                  <c:v>143.89999389648401</c:v>
                </c:pt>
                <c:pt idx="18">
                  <c:v>147.33000183105401</c:v>
                </c:pt>
                <c:pt idx="19">
                  <c:v>153.46000671386699</c:v>
                </c:pt>
                <c:pt idx="20">
                  <c:v>151.13000488281199</c:v>
                </c:pt>
                <c:pt idx="21">
                  <c:v>151.83000183105401</c:v>
                </c:pt>
                <c:pt idx="22">
                  <c:v>150.22999572753901</c:v>
                </c:pt>
                <c:pt idx="23">
                  <c:v>147.61000061035099</c:v>
                </c:pt>
                <c:pt idx="24">
                  <c:v>147.69999694824199</c:v>
                </c:pt>
                <c:pt idx="25">
                  <c:v>150.100006103515</c:v>
                </c:pt>
                <c:pt idx="26">
                  <c:v>149.919998168945</c:v>
                </c:pt>
                <c:pt idx="27">
                  <c:v>151.63999938964801</c:v>
                </c:pt>
                <c:pt idx="28">
                  <c:v>154.27999877929599</c:v>
                </c:pt>
                <c:pt idx="29">
                  <c:v>154.14999389648401</c:v>
                </c:pt>
                <c:pt idx="30">
                  <c:v>156.53999328613199</c:v>
                </c:pt>
                <c:pt idx="31">
                  <c:v>157.80999755859301</c:v>
                </c:pt>
                <c:pt idx="32">
                  <c:v>157.67999267578099</c:v>
                </c:pt>
                <c:pt idx="33">
                  <c:v>157.850006103515</c:v>
                </c:pt>
                <c:pt idx="34">
                  <c:v>157.86999511718699</c:v>
                </c:pt>
                <c:pt idx="35">
                  <c:v>155.97999572753901</c:v>
                </c:pt>
                <c:pt idx="36">
                  <c:v>159.350006103515</c:v>
                </c:pt>
                <c:pt idx="37">
                  <c:v>161.27000427246</c:v>
                </c:pt>
                <c:pt idx="38">
                  <c:v>161.91000366210901</c:v>
                </c:pt>
                <c:pt idx="39">
                  <c:v>164.22000122070301</c:v>
                </c:pt>
                <c:pt idx="40">
                  <c:v>165.11000061035099</c:v>
                </c:pt>
                <c:pt idx="41">
                  <c:v>161.80000305175699</c:v>
                </c:pt>
                <c:pt idx="42">
                  <c:v>162</c:v>
                </c:pt>
                <c:pt idx="43">
                  <c:v>160.08000183105401</c:v>
                </c:pt>
                <c:pt idx="44">
                  <c:v>160.509994506835</c:v>
                </c:pt>
                <c:pt idx="45">
                  <c:v>159.77999877929599</c:v>
                </c:pt>
                <c:pt idx="46">
                  <c:v>161.419998168945</c:v>
                </c:pt>
                <c:pt idx="47">
                  <c:v>163.82000732421801</c:v>
                </c:pt>
                <c:pt idx="48">
                  <c:v>164.02999877929599</c:v>
                </c:pt>
                <c:pt idx="49">
                  <c:v>165.64999389648401</c:v>
                </c:pt>
                <c:pt idx="50">
                  <c:v>165.53999328613199</c:v>
                </c:pt>
                <c:pt idx="51">
                  <c:v>165.55999755859301</c:v>
                </c:pt>
                <c:pt idx="52">
                  <c:v>164.49000549316401</c:v>
                </c:pt>
                <c:pt idx="53">
                  <c:v>163.88999938964801</c:v>
                </c:pt>
                <c:pt idx="54">
                  <c:v>163.72999572753901</c:v>
                </c:pt>
                <c:pt idx="55">
                  <c:v>162.80000305175699</c:v>
                </c:pt>
                <c:pt idx="56">
                  <c:v>165.19000244140599</c:v>
                </c:pt>
                <c:pt idx="57">
                  <c:v>167.88000488281199</c:v>
                </c:pt>
                <c:pt idx="58">
                  <c:v>168.63999938964801</c:v>
                </c:pt>
                <c:pt idx="59">
                  <c:v>167.53999328613199</c:v>
                </c:pt>
                <c:pt idx="60">
                  <c:v>167.16000366210901</c:v>
                </c:pt>
                <c:pt idx="61">
                  <c:v>164.30999755859301</c:v>
                </c:pt>
                <c:pt idx="62">
                  <c:v>170.759994506835</c:v>
                </c:pt>
              </c:numCache>
            </c:numRef>
          </c:val>
        </c:ser>
        <c:ser>
          <c:idx val="3"/>
          <c:order val="3"/>
          <c:tx>
            <c:strRef>
              <c:f>'stocks project'!$H$8</c:f>
              <c:strCache>
                <c:ptCount val="1"/>
                <c:pt idx="0">
                  <c:v>Close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val>
            <c:numRef>
              <c:f>'stocks project'!$H$9:$H$71</c:f>
              <c:numCache>
                <c:formatCode>#,##0.0</c:formatCode>
                <c:ptCount val="63"/>
                <c:pt idx="1">
                  <c:v>154.64999389648401</c:v>
                </c:pt>
                <c:pt idx="2">
                  <c:v>151.919998168945</c:v>
                </c:pt>
                <c:pt idx="3">
                  <c:v>150.86999511718699</c:v>
                </c:pt>
                <c:pt idx="4">
                  <c:v>151.009994506835</c:v>
                </c:pt>
                <c:pt idx="5">
                  <c:v>153.850006103515</c:v>
                </c:pt>
                <c:pt idx="6">
                  <c:v>153.19999694824199</c:v>
                </c:pt>
                <c:pt idx="7">
                  <c:v>155.33000183105401</c:v>
                </c:pt>
                <c:pt idx="8">
                  <c:v>153.71000671386699</c:v>
                </c:pt>
                <c:pt idx="9">
                  <c:v>152.55000305175699</c:v>
                </c:pt>
                <c:pt idx="10">
                  <c:v>148.47999572753901</c:v>
                </c:pt>
                <c:pt idx="11">
                  <c:v>148.91000366210901</c:v>
                </c:pt>
                <c:pt idx="12">
                  <c:v>149.39999389648401</c:v>
                </c:pt>
                <c:pt idx="13">
                  <c:v>146.71000671386699</c:v>
                </c:pt>
                <c:pt idx="14">
                  <c:v>147.919998168945</c:v>
                </c:pt>
                <c:pt idx="15">
                  <c:v>147.41000366210901</c:v>
                </c:pt>
                <c:pt idx="16">
                  <c:v>145.30999755859301</c:v>
                </c:pt>
                <c:pt idx="17">
                  <c:v>145.91000366210901</c:v>
                </c:pt>
                <c:pt idx="18">
                  <c:v>151.02999877929599</c:v>
                </c:pt>
                <c:pt idx="19">
                  <c:v>153.83000183105401</c:v>
                </c:pt>
                <c:pt idx="20">
                  <c:v>151.600006103515</c:v>
                </c:pt>
                <c:pt idx="21">
                  <c:v>152.86999511718699</c:v>
                </c:pt>
                <c:pt idx="22">
                  <c:v>150.58999633789</c:v>
                </c:pt>
                <c:pt idx="23">
                  <c:v>148.5</c:v>
                </c:pt>
                <c:pt idx="24">
                  <c:v>150.47000122070301</c:v>
                </c:pt>
                <c:pt idx="25">
                  <c:v>152.58999633789</c:v>
                </c:pt>
                <c:pt idx="26">
                  <c:v>152.99000549316401</c:v>
                </c:pt>
                <c:pt idx="27">
                  <c:v>155.850006103515</c:v>
                </c:pt>
                <c:pt idx="28">
                  <c:v>155</c:v>
                </c:pt>
                <c:pt idx="29">
                  <c:v>157.39999389648401</c:v>
                </c:pt>
                <c:pt idx="30">
                  <c:v>159.27999877929599</c:v>
                </c:pt>
                <c:pt idx="31">
                  <c:v>157.83000183105401</c:v>
                </c:pt>
                <c:pt idx="32">
                  <c:v>158.92999267578099</c:v>
                </c:pt>
                <c:pt idx="33">
                  <c:v>160.25</c:v>
                </c:pt>
                <c:pt idx="34">
                  <c:v>158.27999877929599</c:v>
                </c:pt>
                <c:pt idx="35">
                  <c:v>157.64999389648401</c:v>
                </c:pt>
                <c:pt idx="36">
                  <c:v>160.77000427246</c:v>
                </c:pt>
                <c:pt idx="37">
                  <c:v>162.36000061035099</c:v>
                </c:pt>
                <c:pt idx="38">
                  <c:v>164.89999389648401</c:v>
                </c:pt>
                <c:pt idx="39">
                  <c:v>166.169998168945</c:v>
                </c:pt>
                <c:pt idx="40">
                  <c:v>165.63000488281199</c:v>
                </c:pt>
                <c:pt idx="41">
                  <c:v>163.759994506835</c:v>
                </c:pt>
                <c:pt idx="42">
                  <c:v>164.66000366210901</c:v>
                </c:pt>
                <c:pt idx="43">
                  <c:v>162.02999877929599</c:v>
                </c:pt>
                <c:pt idx="44">
                  <c:v>160.80000305175699</c:v>
                </c:pt>
                <c:pt idx="45">
                  <c:v>160.100006103515</c:v>
                </c:pt>
                <c:pt idx="46">
                  <c:v>165.55999755859301</c:v>
                </c:pt>
                <c:pt idx="47">
                  <c:v>165.21000671386699</c:v>
                </c:pt>
                <c:pt idx="48">
                  <c:v>165.22999572753901</c:v>
                </c:pt>
                <c:pt idx="49">
                  <c:v>166.47000122070301</c:v>
                </c:pt>
                <c:pt idx="50">
                  <c:v>167.63000488281199</c:v>
                </c:pt>
                <c:pt idx="51">
                  <c:v>166.64999389648401</c:v>
                </c:pt>
                <c:pt idx="52">
                  <c:v>165.02000427246</c:v>
                </c:pt>
                <c:pt idx="53">
                  <c:v>165.33000183105401</c:v>
                </c:pt>
                <c:pt idx="54">
                  <c:v>163.77000427246</c:v>
                </c:pt>
                <c:pt idx="55">
                  <c:v>163.759994506835</c:v>
                </c:pt>
                <c:pt idx="56">
                  <c:v>168.41000366210901</c:v>
                </c:pt>
                <c:pt idx="57">
                  <c:v>169.67999267578099</c:v>
                </c:pt>
                <c:pt idx="58">
                  <c:v>169.58999633789</c:v>
                </c:pt>
                <c:pt idx="59">
                  <c:v>168.53999328613199</c:v>
                </c:pt>
                <c:pt idx="60">
                  <c:v>167.44999694824199</c:v>
                </c:pt>
                <c:pt idx="61">
                  <c:v>165.78999328613199</c:v>
                </c:pt>
                <c:pt idx="62">
                  <c:v>173.57000732421801</c:v>
                </c:pt>
              </c:numCache>
            </c:numRef>
          </c:val>
        </c:ser>
        <c:ser>
          <c:idx val="4"/>
          <c:order val="4"/>
          <c:tx>
            <c:strRef>
              <c:f>'stocks project'!$I$8</c:f>
              <c:strCache>
                <c:ptCount val="1"/>
                <c:pt idx="0">
                  <c:v>Adj Close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val>
            <c:numRef>
              <c:f>'stocks project'!$I$9:$I$71</c:f>
              <c:numCache>
                <c:formatCode>#,##0.0</c:formatCode>
                <c:ptCount val="63"/>
                <c:pt idx="1">
                  <c:v>154.41423034667901</c:v>
                </c:pt>
                <c:pt idx="2">
                  <c:v>151.68840026855401</c:v>
                </c:pt>
                <c:pt idx="3">
                  <c:v>150.63999938964801</c:v>
                </c:pt>
                <c:pt idx="4">
                  <c:v>151.009994506835</c:v>
                </c:pt>
                <c:pt idx="5">
                  <c:v>153.850006103515</c:v>
                </c:pt>
                <c:pt idx="6">
                  <c:v>153.19999694824199</c:v>
                </c:pt>
                <c:pt idx="7">
                  <c:v>155.33000183105401</c:v>
                </c:pt>
                <c:pt idx="8">
                  <c:v>153.71000671386699</c:v>
                </c:pt>
                <c:pt idx="9">
                  <c:v>152.55000305175699</c:v>
                </c:pt>
                <c:pt idx="10">
                  <c:v>148.47999572753901</c:v>
                </c:pt>
                <c:pt idx="11">
                  <c:v>148.91000366210901</c:v>
                </c:pt>
                <c:pt idx="12">
                  <c:v>149.39999389648401</c:v>
                </c:pt>
                <c:pt idx="13">
                  <c:v>146.71000671386699</c:v>
                </c:pt>
                <c:pt idx="14">
                  <c:v>147.919998168945</c:v>
                </c:pt>
                <c:pt idx="15">
                  <c:v>147.41000366210901</c:v>
                </c:pt>
                <c:pt idx="16">
                  <c:v>145.30999755859301</c:v>
                </c:pt>
                <c:pt idx="17">
                  <c:v>145.91000366210901</c:v>
                </c:pt>
                <c:pt idx="18">
                  <c:v>151.02999877929599</c:v>
                </c:pt>
                <c:pt idx="19">
                  <c:v>153.83000183105401</c:v>
                </c:pt>
                <c:pt idx="20">
                  <c:v>151.600006103515</c:v>
                </c:pt>
                <c:pt idx="21">
                  <c:v>152.86999511718699</c:v>
                </c:pt>
                <c:pt idx="22">
                  <c:v>150.58999633789</c:v>
                </c:pt>
                <c:pt idx="23">
                  <c:v>148.5</c:v>
                </c:pt>
                <c:pt idx="24">
                  <c:v>150.47000122070301</c:v>
                </c:pt>
                <c:pt idx="25">
                  <c:v>152.58999633789</c:v>
                </c:pt>
                <c:pt idx="26">
                  <c:v>152.99000549316401</c:v>
                </c:pt>
                <c:pt idx="27">
                  <c:v>155.850006103515</c:v>
                </c:pt>
                <c:pt idx="28">
                  <c:v>155</c:v>
                </c:pt>
                <c:pt idx="29">
                  <c:v>157.39999389648401</c:v>
                </c:pt>
                <c:pt idx="30">
                  <c:v>159.27999877929599</c:v>
                </c:pt>
                <c:pt idx="31">
                  <c:v>157.83000183105401</c:v>
                </c:pt>
                <c:pt idx="32">
                  <c:v>158.92999267578099</c:v>
                </c:pt>
                <c:pt idx="33">
                  <c:v>160.25</c:v>
                </c:pt>
                <c:pt idx="34">
                  <c:v>158.27999877929599</c:v>
                </c:pt>
                <c:pt idx="35">
                  <c:v>157.64999389648401</c:v>
                </c:pt>
                <c:pt idx="36">
                  <c:v>160.77000427246</c:v>
                </c:pt>
                <c:pt idx="37">
                  <c:v>162.36000061035099</c:v>
                </c:pt>
                <c:pt idx="38">
                  <c:v>164.89999389648401</c:v>
                </c:pt>
                <c:pt idx="39">
                  <c:v>166.169998168945</c:v>
                </c:pt>
                <c:pt idx="40">
                  <c:v>165.63000488281199</c:v>
                </c:pt>
                <c:pt idx="41">
                  <c:v>163.759994506835</c:v>
                </c:pt>
                <c:pt idx="42">
                  <c:v>164.66000366210901</c:v>
                </c:pt>
                <c:pt idx="43">
                  <c:v>162.02999877929599</c:v>
                </c:pt>
                <c:pt idx="44">
                  <c:v>160.80000305175699</c:v>
                </c:pt>
                <c:pt idx="45">
                  <c:v>160.100006103515</c:v>
                </c:pt>
                <c:pt idx="46">
                  <c:v>165.55999755859301</c:v>
                </c:pt>
                <c:pt idx="47">
                  <c:v>165.21000671386699</c:v>
                </c:pt>
                <c:pt idx="48">
                  <c:v>165.22999572753901</c:v>
                </c:pt>
                <c:pt idx="49">
                  <c:v>166.47000122070301</c:v>
                </c:pt>
                <c:pt idx="50">
                  <c:v>167.63000488281199</c:v>
                </c:pt>
                <c:pt idx="51">
                  <c:v>166.64999389648401</c:v>
                </c:pt>
                <c:pt idx="52">
                  <c:v>165.02000427246</c:v>
                </c:pt>
                <c:pt idx="53">
                  <c:v>165.33000183105401</c:v>
                </c:pt>
                <c:pt idx="54">
                  <c:v>163.77000427246</c:v>
                </c:pt>
                <c:pt idx="55">
                  <c:v>163.759994506835</c:v>
                </c:pt>
                <c:pt idx="56">
                  <c:v>168.41000366210901</c:v>
                </c:pt>
                <c:pt idx="57">
                  <c:v>169.67999267578099</c:v>
                </c:pt>
                <c:pt idx="58">
                  <c:v>169.58999633789</c:v>
                </c:pt>
                <c:pt idx="59">
                  <c:v>168.53999328613199</c:v>
                </c:pt>
                <c:pt idx="60">
                  <c:v>167.44999694824199</c:v>
                </c:pt>
                <c:pt idx="61">
                  <c:v>165.78999328613199</c:v>
                </c:pt>
                <c:pt idx="62">
                  <c:v>173.57000732421801</c:v>
                </c:pt>
              </c:numCache>
            </c:numRef>
          </c:val>
        </c:ser>
        <c:dLbls/>
        <c:hiLowLines/>
        <c:upDownBars>
          <c:gapWidth val="150"/>
          <c:upBars/>
          <c:downBars/>
        </c:upDownBars>
        <c:axId val="72227456"/>
        <c:axId val="71973888"/>
      </c:stockChart>
      <c:catAx>
        <c:axId val="71595136"/>
        <c:scaling>
          <c:orientation val="minMax"/>
        </c:scaling>
        <c:axPos val="b"/>
        <c:majorTickMark val="none"/>
        <c:tickLblPos val="nextTo"/>
        <c:crossAx val="71606656"/>
        <c:crosses val="autoZero"/>
        <c:auto val="1"/>
        <c:lblAlgn val="ctr"/>
        <c:lblOffset val="100"/>
      </c:catAx>
      <c:valAx>
        <c:axId val="71606656"/>
        <c:scaling>
          <c:orientation val="minMax"/>
        </c:scaling>
        <c:axPos val="l"/>
        <c:numFmt formatCode="General" sourceLinked="1"/>
        <c:majorTickMark val="none"/>
        <c:tickLblPos val="nextTo"/>
        <c:crossAx val="71595136"/>
        <c:crosses val="autoZero"/>
        <c:crossBetween val="between"/>
      </c:valAx>
      <c:valAx>
        <c:axId val="71973888"/>
        <c:scaling>
          <c:orientation val="minMax"/>
        </c:scaling>
        <c:axPos val="r"/>
        <c:numFmt formatCode="General" sourceLinked="1"/>
        <c:tickLblPos val="nextTo"/>
        <c:crossAx val="72227456"/>
        <c:crosses val="max"/>
        <c:crossBetween val="between"/>
      </c:valAx>
      <c:catAx>
        <c:axId val="72227456"/>
        <c:scaling>
          <c:orientation val="minMax"/>
        </c:scaling>
        <c:delete val="1"/>
        <c:axPos val="b"/>
        <c:tickLblPos val="nextTo"/>
        <c:crossAx val="71973888"/>
        <c:auto val="1"/>
        <c:lblAlgn val="ctr"/>
        <c:lblOffset val="100"/>
      </c:catAx>
    </c:plotArea>
    <c:plotVisOnly val="1"/>
    <c:dispBlanksAs val="gap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strRef>
              <c:f>'stocks project'!$E$74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rgbClr val="C7A7B0"/>
            </a:solidFill>
            <a:ln w="28575">
              <a:noFill/>
            </a:ln>
          </c:spPr>
          <c:val>
            <c:numRef>
              <c:f>'stocks project'!$E$75:$E$137</c:f>
              <c:numCache>
                <c:formatCode>#,##0.0</c:formatCode>
                <c:ptCount val="63"/>
                <c:pt idx="1">
                  <c:v>260.52999877929602</c:v>
                </c:pt>
                <c:pt idx="2">
                  <c:v>273.20001220703102</c:v>
                </c:pt>
                <c:pt idx="3">
                  <c:v>273.79998779296801</c:v>
                </c:pt>
                <c:pt idx="4">
                  <c:v>261.52999877929602</c:v>
                </c:pt>
                <c:pt idx="5">
                  <c:v>267.64001464843699</c:v>
                </c:pt>
                <c:pt idx="6">
                  <c:v>272.67001342773398</c:v>
                </c:pt>
                <c:pt idx="7">
                  <c:v>268.32000732421801</c:v>
                </c:pt>
                <c:pt idx="8">
                  <c:v>264.01998901367102</c:v>
                </c:pt>
                <c:pt idx="9">
                  <c:v>259.39001464843699</c:v>
                </c:pt>
                <c:pt idx="10">
                  <c:v>254.47999572753901</c:v>
                </c:pt>
                <c:pt idx="11">
                  <c:v>254.08999633789</c:v>
                </c:pt>
                <c:pt idx="12">
                  <c:v>255.55999755859301</c:v>
                </c:pt>
                <c:pt idx="13">
                  <c:v>249.96000671386699</c:v>
                </c:pt>
                <c:pt idx="14">
                  <c:v>252.46000671386699</c:v>
                </c:pt>
                <c:pt idx="15">
                  <c:v>249.07000732421801</c:v>
                </c:pt>
                <c:pt idx="16">
                  <c:v>250.759994506835</c:v>
                </c:pt>
                <c:pt idx="17">
                  <c:v>246.55000305175699</c:v>
                </c:pt>
                <c:pt idx="18">
                  <c:v>252.19000244140599</c:v>
                </c:pt>
                <c:pt idx="19">
                  <c:v>256.42999267578102</c:v>
                </c:pt>
                <c:pt idx="20">
                  <c:v>256.29998779296801</c:v>
                </c:pt>
                <c:pt idx="21">
                  <c:v>254.03999328613199</c:v>
                </c:pt>
                <c:pt idx="22">
                  <c:v>255.82000732421801</c:v>
                </c:pt>
                <c:pt idx="23">
                  <c:v>251.08000183105401</c:v>
                </c:pt>
                <c:pt idx="24">
                  <c:v>247.39999389648401</c:v>
                </c:pt>
                <c:pt idx="25">
                  <c:v>256.75</c:v>
                </c:pt>
                <c:pt idx="26">
                  <c:v>259.98001098632801</c:v>
                </c:pt>
                <c:pt idx="27">
                  <c:v>265.20999145507801</c:v>
                </c:pt>
                <c:pt idx="28">
                  <c:v>278.260009765625</c:v>
                </c:pt>
                <c:pt idx="29">
                  <c:v>276.98001098632801</c:v>
                </c:pt>
                <c:pt idx="30">
                  <c:v>274.88000488281199</c:v>
                </c:pt>
                <c:pt idx="31">
                  <c:v>273.39999389648398</c:v>
                </c:pt>
                <c:pt idx="32">
                  <c:v>277.94000244140602</c:v>
                </c:pt>
                <c:pt idx="33">
                  <c:v>277.239990234375</c:v>
                </c:pt>
                <c:pt idx="34">
                  <c:v>280.5</c:v>
                </c:pt>
                <c:pt idx="35">
                  <c:v>275.79000854492102</c:v>
                </c:pt>
                <c:pt idx="36">
                  <c:v>278.95999145507801</c:v>
                </c:pt>
                <c:pt idx="37">
                  <c:v>284.23001098632801</c:v>
                </c:pt>
                <c:pt idx="38">
                  <c:v>283.73001098632801</c:v>
                </c:pt>
                <c:pt idx="39">
                  <c:v>286.51998901367102</c:v>
                </c:pt>
                <c:pt idx="40">
                  <c:v>287.23001098632801</c:v>
                </c:pt>
                <c:pt idx="41">
                  <c:v>285.850006103515</c:v>
                </c:pt>
                <c:pt idx="42">
                  <c:v>283.20999145507801</c:v>
                </c:pt>
                <c:pt idx="43">
                  <c:v>289.20999145507801</c:v>
                </c:pt>
                <c:pt idx="44">
                  <c:v>285.75</c:v>
                </c:pt>
                <c:pt idx="45">
                  <c:v>284.79000854492102</c:v>
                </c:pt>
                <c:pt idx="46">
                  <c:v>283.58999633789</c:v>
                </c:pt>
                <c:pt idx="47">
                  <c:v>287</c:v>
                </c:pt>
                <c:pt idx="48">
                  <c:v>289.92999267578102</c:v>
                </c:pt>
                <c:pt idx="49">
                  <c:v>291.57000732421801</c:v>
                </c:pt>
                <c:pt idx="50">
                  <c:v>285.989990234375</c:v>
                </c:pt>
                <c:pt idx="51">
                  <c:v>285.25</c:v>
                </c:pt>
                <c:pt idx="52">
                  <c:v>285.010009765625</c:v>
                </c:pt>
                <c:pt idx="53">
                  <c:v>282.08999633789</c:v>
                </c:pt>
                <c:pt idx="54">
                  <c:v>279.510009765625</c:v>
                </c:pt>
                <c:pt idx="55">
                  <c:v>296.70001220703102</c:v>
                </c:pt>
                <c:pt idx="56">
                  <c:v>295.97000122070301</c:v>
                </c:pt>
                <c:pt idx="57">
                  <c:v>304.010009765625</c:v>
                </c:pt>
                <c:pt idx="58">
                  <c:v>306.97000122070301</c:v>
                </c:pt>
                <c:pt idx="59">
                  <c:v>307.760009765625</c:v>
                </c:pt>
                <c:pt idx="60">
                  <c:v>306.61999511718699</c:v>
                </c:pt>
                <c:pt idx="61">
                  <c:v>306.239990234375</c:v>
                </c:pt>
                <c:pt idx="62">
                  <c:v>305.72000122070301</c:v>
                </c:pt>
              </c:numCache>
            </c:numRef>
          </c:val>
        </c:ser>
        <c:axId val="71623040"/>
        <c:axId val="71624576"/>
      </c:barChart>
      <c:stockChart>
        <c:ser>
          <c:idx val="1"/>
          <c:order val="1"/>
          <c:tx>
            <c:strRef>
              <c:f>'stocks project'!$F$74</c:f>
              <c:strCache>
                <c:ptCount val="1"/>
                <c:pt idx="0">
                  <c:v>High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val>
            <c:numRef>
              <c:f>'stocks project'!$F$75:$F$137</c:f>
              <c:numCache>
                <c:formatCode>#,##0.0</c:formatCode>
                <c:ptCount val="63"/>
                <c:pt idx="1">
                  <c:v>268.76998901367102</c:v>
                </c:pt>
                <c:pt idx="2">
                  <c:v>276.760009765625</c:v>
                </c:pt>
                <c:pt idx="3">
                  <c:v>273.98001098632801</c:v>
                </c:pt>
                <c:pt idx="4">
                  <c:v>264.08999633789</c:v>
                </c:pt>
                <c:pt idx="5">
                  <c:v>274.600006103515</c:v>
                </c:pt>
                <c:pt idx="6">
                  <c:v>274.97000122070301</c:v>
                </c:pt>
                <c:pt idx="7">
                  <c:v>270.73001098632801</c:v>
                </c:pt>
                <c:pt idx="8">
                  <c:v>266.739990234375</c:v>
                </c:pt>
                <c:pt idx="9">
                  <c:v>260.08999633789</c:v>
                </c:pt>
                <c:pt idx="10">
                  <c:v>255.49000549316401</c:v>
                </c:pt>
                <c:pt idx="11">
                  <c:v>254.33999633789</c:v>
                </c:pt>
                <c:pt idx="12">
                  <c:v>256.83999633789</c:v>
                </c:pt>
                <c:pt idx="13">
                  <c:v>251</c:v>
                </c:pt>
                <c:pt idx="14">
                  <c:v>252.82000732421801</c:v>
                </c:pt>
                <c:pt idx="15">
                  <c:v>251.49000549316401</c:v>
                </c:pt>
                <c:pt idx="16">
                  <c:v>250.92999267578099</c:v>
                </c:pt>
                <c:pt idx="17">
                  <c:v>251.39999389648401</c:v>
                </c:pt>
                <c:pt idx="18">
                  <c:v>255.61999511718699</c:v>
                </c:pt>
                <c:pt idx="19">
                  <c:v>260.11999511718699</c:v>
                </c:pt>
                <c:pt idx="20">
                  <c:v>257.69000244140602</c:v>
                </c:pt>
                <c:pt idx="21">
                  <c:v>254.53999328613199</c:v>
                </c:pt>
                <c:pt idx="22">
                  <c:v>259.55999755859301</c:v>
                </c:pt>
                <c:pt idx="23">
                  <c:v>252.78999328613199</c:v>
                </c:pt>
                <c:pt idx="24">
                  <c:v>257.91000366210898</c:v>
                </c:pt>
                <c:pt idx="25">
                  <c:v>261.07000732421801</c:v>
                </c:pt>
                <c:pt idx="26">
                  <c:v>266.48001098632801</c:v>
                </c:pt>
                <c:pt idx="27">
                  <c:v>276.55999755859301</c:v>
                </c:pt>
                <c:pt idx="28">
                  <c:v>283.329986572265</c:v>
                </c:pt>
                <c:pt idx="29">
                  <c:v>277.48001098632801</c:v>
                </c:pt>
                <c:pt idx="30">
                  <c:v>275</c:v>
                </c:pt>
                <c:pt idx="31">
                  <c:v>281.04000854492102</c:v>
                </c:pt>
                <c:pt idx="32">
                  <c:v>281.05999755859301</c:v>
                </c:pt>
                <c:pt idx="33">
                  <c:v>280.63000488281199</c:v>
                </c:pt>
                <c:pt idx="34">
                  <c:v>281.45999145507801</c:v>
                </c:pt>
                <c:pt idx="35">
                  <c:v>276.14001464843699</c:v>
                </c:pt>
                <c:pt idx="36">
                  <c:v>281.14001464843699</c:v>
                </c:pt>
                <c:pt idx="37">
                  <c:v>284.45999145507801</c:v>
                </c:pt>
                <c:pt idx="38">
                  <c:v>289.26998901367102</c:v>
                </c:pt>
                <c:pt idx="39">
                  <c:v>288.26998901367102</c:v>
                </c:pt>
                <c:pt idx="40">
                  <c:v>290.45001220703102</c:v>
                </c:pt>
                <c:pt idx="41">
                  <c:v>287.14999389648398</c:v>
                </c:pt>
                <c:pt idx="42">
                  <c:v>292.079986572265</c:v>
                </c:pt>
                <c:pt idx="43">
                  <c:v>289.600006103515</c:v>
                </c:pt>
                <c:pt idx="44">
                  <c:v>285.98001098632801</c:v>
                </c:pt>
                <c:pt idx="45">
                  <c:v>287.010009765625</c:v>
                </c:pt>
                <c:pt idx="46">
                  <c:v>289.89999389648398</c:v>
                </c:pt>
                <c:pt idx="47">
                  <c:v>288.48001098632801</c:v>
                </c:pt>
                <c:pt idx="48">
                  <c:v>291.600006103515</c:v>
                </c:pt>
                <c:pt idx="49">
                  <c:v>291.760009765625</c:v>
                </c:pt>
                <c:pt idx="50">
                  <c:v>289.04998779296801</c:v>
                </c:pt>
                <c:pt idx="51">
                  <c:v>289.02999877929602</c:v>
                </c:pt>
                <c:pt idx="52">
                  <c:v>286.26998901367102</c:v>
                </c:pt>
                <c:pt idx="53">
                  <c:v>284.95001220703102</c:v>
                </c:pt>
                <c:pt idx="54">
                  <c:v>281.600006103515</c:v>
                </c:pt>
                <c:pt idx="55">
                  <c:v>299.57000732421801</c:v>
                </c:pt>
                <c:pt idx="56">
                  <c:v>305.20001220703102</c:v>
                </c:pt>
                <c:pt idx="57">
                  <c:v>308.92999267578102</c:v>
                </c:pt>
                <c:pt idx="58">
                  <c:v>308.600006103515</c:v>
                </c:pt>
                <c:pt idx="59">
                  <c:v>309.17999267578102</c:v>
                </c:pt>
                <c:pt idx="60">
                  <c:v>308.60998535156199</c:v>
                </c:pt>
                <c:pt idx="61">
                  <c:v>307.760009765625</c:v>
                </c:pt>
                <c:pt idx="62">
                  <c:v>311.97000122070301</c:v>
                </c:pt>
              </c:numCache>
            </c:numRef>
          </c:val>
        </c:ser>
        <c:ser>
          <c:idx val="2"/>
          <c:order val="2"/>
          <c:tx>
            <c:strRef>
              <c:f>'stocks project'!$G$74</c:f>
              <c:strCache>
                <c:ptCount val="1"/>
                <c:pt idx="0">
                  <c:v>Low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val>
            <c:numRef>
              <c:f>'stocks project'!$G$75:$G$137</c:f>
              <c:numCache>
                <c:formatCode>#,##0.0</c:formatCode>
                <c:ptCount val="63"/>
                <c:pt idx="1">
                  <c:v>260.079986572265</c:v>
                </c:pt>
                <c:pt idx="2">
                  <c:v>266.20999145507801</c:v>
                </c:pt>
                <c:pt idx="3">
                  <c:v>262.79998779296801</c:v>
                </c:pt>
                <c:pt idx="4">
                  <c:v>260.66000366210898</c:v>
                </c:pt>
                <c:pt idx="5">
                  <c:v>267.14999389648398</c:v>
                </c:pt>
                <c:pt idx="6">
                  <c:v>269.27999877929602</c:v>
                </c:pt>
                <c:pt idx="7">
                  <c:v>266.17999267578102</c:v>
                </c:pt>
                <c:pt idx="8">
                  <c:v>261.89999389648398</c:v>
                </c:pt>
                <c:pt idx="9">
                  <c:v>256</c:v>
                </c:pt>
                <c:pt idx="10">
                  <c:v>251.58999633789</c:v>
                </c:pt>
                <c:pt idx="11">
                  <c:v>250.33999633789</c:v>
                </c:pt>
                <c:pt idx="12">
                  <c:v>250.47999572753901</c:v>
                </c:pt>
                <c:pt idx="13">
                  <c:v>248.100006103515</c:v>
                </c:pt>
                <c:pt idx="14">
                  <c:v>249.38999938964801</c:v>
                </c:pt>
                <c:pt idx="15">
                  <c:v>248.72999572753901</c:v>
                </c:pt>
                <c:pt idx="16">
                  <c:v>245.78999328613199</c:v>
                </c:pt>
                <c:pt idx="17">
                  <c:v>245.61000061035099</c:v>
                </c:pt>
                <c:pt idx="18">
                  <c:v>251.38999938964801</c:v>
                </c:pt>
                <c:pt idx="19">
                  <c:v>255.97999572753901</c:v>
                </c:pt>
                <c:pt idx="20">
                  <c:v>253.38999938964801</c:v>
                </c:pt>
                <c:pt idx="21">
                  <c:v>250.80999755859301</c:v>
                </c:pt>
                <c:pt idx="22">
                  <c:v>251.58000183105401</c:v>
                </c:pt>
                <c:pt idx="23">
                  <c:v>247.600006103515</c:v>
                </c:pt>
                <c:pt idx="24">
                  <c:v>245.72999572753901</c:v>
                </c:pt>
                <c:pt idx="25">
                  <c:v>255.86000061035099</c:v>
                </c:pt>
                <c:pt idx="26">
                  <c:v>259.20999145507801</c:v>
                </c:pt>
                <c:pt idx="27">
                  <c:v>263.27999877929602</c:v>
                </c:pt>
                <c:pt idx="28">
                  <c:v>276.32000732421801</c:v>
                </c:pt>
                <c:pt idx="29">
                  <c:v>269.850006103515</c:v>
                </c:pt>
                <c:pt idx="30">
                  <c:v>269.51998901367102</c:v>
                </c:pt>
                <c:pt idx="31">
                  <c:v>272.17999267578102</c:v>
                </c:pt>
                <c:pt idx="32">
                  <c:v>275.20001220703102</c:v>
                </c:pt>
                <c:pt idx="33">
                  <c:v>275.27999877929602</c:v>
                </c:pt>
                <c:pt idx="34">
                  <c:v>275.51998901367102</c:v>
                </c:pt>
                <c:pt idx="35">
                  <c:v>272.04998779296801</c:v>
                </c:pt>
                <c:pt idx="36">
                  <c:v>278.41000366210898</c:v>
                </c:pt>
                <c:pt idx="37">
                  <c:v>281.48001098632801</c:v>
                </c:pt>
                <c:pt idx="38">
                  <c:v>283</c:v>
                </c:pt>
                <c:pt idx="39">
                  <c:v>283.95001220703102</c:v>
                </c:pt>
                <c:pt idx="40">
                  <c:v>285.67001342773398</c:v>
                </c:pt>
                <c:pt idx="41">
                  <c:v>282.92001342773398</c:v>
                </c:pt>
                <c:pt idx="42">
                  <c:v>282.02999877929602</c:v>
                </c:pt>
                <c:pt idx="43">
                  <c:v>284.70999145507801</c:v>
                </c:pt>
                <c:pt idx="44">
                  <c:v>281.64001464843699</c:v>
                </c:pt>
                <c:pt idx="45">
                  <c:v>281.95999145507801</c:v>
                </c:pt>
                <c:pt idx="46">
                  <c:v>283.17001342773398</c:v>
                </c:pt>
                <c:pt idx="47">
                  <c:v>283.69000244140602</c:v>
                </c:pt>
                <c:pt idx="48">
                  <c:v>286.16000366210898</c:v>
                </c:pt>
                <c:pt idx="49">
                  <c:v>287.010009765625</c:v>
                </c:pt>
                <c:pt idx="50">
                  <c:v>284.54000854492102</c:v>
                </c:pt>
                <c:pt idx="51">
                  <c:v>285.079986572265</c:v>
                </c:pt>
                <c:pt idx="52">
                  <c:v>283.05999755859301</c:v>
                </c:pt>
                <c:pt idx="53">
                  <c:v>278.72000122070301</c:v>
                </c:pt>
                <c:pt idx="54">
                  <c:v>275.36999511718699</c:v>
                </c:pt>
                <c:pt idx="55">
                  <c:v>292.73001098632801</c:v>
                </c:pt>
                <c:pt idx="56">
                  <c:v>295.25</c:v>
                </c:pt>
                <c:pt idx="57">
                  <c:v>303.30999755859301</c:v>
                </c:pt>
                <c:pt idx="58">
                  <c:v>305.14999389648398</c:v>
                </c:pt>
                <c:pt idx="59">
                  <c:v>303.91000366210898</c:v>
                </c:pt>
                <c:pt idx="60">
                  <c:v>304.08999633789</c:v>
                </c:pt>
                <c:pt idx="61">
                  <c:v>303.39999389648398</c:v>
                </c:pt>
                <c:pt idx="62">
                  <c:v>304.26998901367102</c:v>
                </c:pt>
              </c:numCache>
            </c:numRef>
          </c:val>
        </c:ser>
        <c:ser>
          <c:idx val="3"/>
          <c:order val="3"/>
          <c:tx>
            <c:strRef>
              <c:f>'stocks project'!$H$74</c:f>
              <c:strCache>
                <c:ptCount val="1"/>
                <c:pt idx="0">
                  <c:v>Close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val>
            <c:numRef>
              <c:f>'stocks project'!$H$75:$H$137</c:f>
              <c:numCache>
                <c:formatCode>#,##0.0</c:formatCode>
                <c:ptCount val="63"/>
                <c:pt idx="1">
                  <c:v>267.55999755859301</c:v>
                </c:pt>
                <c:pt idx="2">
                  <c:v>266.73001098632801</c:v>
                </c:pt>
                <c:pt idx="3">
                  <c:v>263.61999511718699</c:v>
                </c:pt>
                <c:pt idx="4">
                  <c:v>263.100006103515</c:v>
                </c:pt>
                <c:pt idx="5">
                  <c:v>271.32000732421801</c:v>
                </c:pt>
                <c:pt idx="6">
                  <c:v>272.17001342773398</c:v>
                </c:pt>
                <c:pt idx="7">
                  <c:v>269.32000732421801</c:v>
                </c:pt>
                <c:pt idx="8">
                  <c:v>262.14999389648398</c:v>
                </c:pt>
                <c:pt idx="9">
                  <c:v>258.05999755859301</c:v>
                </c:pt>
                <c:pt idx="10">
                  <c:v>252.669998168945</c:v>
                </c:pt>
                <c:pt idx="11">
                  <c:v>251.509994506835</c:v>
                </c:pt>
                <c:pt idx="12">
                  <c:v>254.77000427246</c:v>
                </c:pt>
                <c:pt idx="13">
                  <c:v>249.22000122070301</c:v>
                </c:pt>
                <c:pt idx="14">
                  <c:v>250.16000366210901</c:v>
                </c:pt>
                <c:pt idx="15">
                  <c:v>249.419998168945</c:v>
                </c:pt>
                <c:pt idx="16">
                  <c:v>246.27000427246</c:v>
                </c:pt>
                <c:pt idx="17">
                  <c:v>251.11000061035099</c:v>
                </c:pt>
                <c:pt idx="18">
                  <c:v>255.28999328613199</c:v>
                </c:pt>
                <c:pt idx="19">
                  <c:v>256.86999511718699</c:v>
                </c:pt>
                <c:pt idx="20">
                  <c:v>254.14999389648401</c:v>
                </c:pt>
                <c:pt idx="21">
                  <c:v>253.69999694824199</c:v>
                </c:pt>
                <c:pt idx="22">
                  <c:v>252.32000732421801</c:v>
                </c:pt>
                <c:pt idx="23">
                  <c:v>248.58999633789</c:v>
                </c:pt>
                <c:pt idx="24">
                  <c:v>253.919998168945</c:v>
                </c:pt>
                <c:pt idx="25">
                  <c:v>260.79000854492102</c:v>
                </c:pt>
                <c:pt idx="26">
                  <c:v>265.44000244140602</c:v>
                </c:pt>
                <c:pt idx="27">
                  <c:v>276.20001220703102</c:v>
                </c:pt>
                <c:pt idx="28">
                  <c:v>279.42999267578102</c:v>
                </c:pt>
                <c:pt idx="29">
                  <c:v>272.23001098632801</c:v>
                </c:pt>
                <c:pt idx="30">
                  <c:v>273.77999877929602</c:v>
                </c:pt>
                <c:pt idx="31">
                  <c:v>272.29000854492102</c:v>
                </c:pt>
                <c:pt idx="32">
                  <c:v>277.66000366210898</c:v>
                </c:pt>
                <c:pt idx="33">
                  <c:v>280.57000732421801</c:v>
                </c:pt>
                <c:pt idx="34">
                  <c:v>276.38000488281199</c:v>
                </c:pt>
                <c:pt idx="35">
                  <c:v>275.23001098632801</c:v>
                </c:pt>
                <c:pt idx="36">
                  <c:v>280.510009765625</c:v>
                </c:pt>
                <c:pt idx="37">
                  <c:v>284.04998779296801</c:v>
                </c:pt>
                <c:pt idx="38">
                  <c:v>288.29998779296801</c:v>
                </c:pt>
                <c:pt idx="39">
                  <c:v>287.23001098632801</c:v>
                </c:pt>
                <c:pt idx="40">
                  <c:v>287.17999267578102</c:v>
                </c:pt>
                <c:pt idx="41">
                  <c:v>284.33999633789</c:v>
                </c:pt>
                <c:pt idx="42">
                  <c:v>291.600006103515</c:v>
                </c:pt>
                <c:pt idx="43">
                  <c:v>289.39001464843699</c:v>
                </c:pt>
                <c:pt idx="44">
                  <c:v>282.829986572265</c:v>
                </c:pt>
                <c:pt idx="45">
                  <c:v>283.489990234375</c:v>
                </c:pt>
                <c:pt idx="46">
                  <c:v>289.83999633789</c:v>
                </c:pt>
                <c:pt idx="47">
                  <c:v>286.14001464843699</c:v>
                </c:pt>
                <c:pt idx="48">
                  <c:v>288.79998779296801</c:v>
                </c:pt>
                <c:pt idx="49">
                  <c:v>288.36999511718699</c:v>
                </c:pt>
                <c:pt idx="50">
                  <c:v>288.45001220703102</c:v>
                </c:pt>
                <c:pt idx="51">
                  <c:v>286.10998535156199</c:v>
                </c:pt>
                <c:pt idx="52">
                  <c:v>285.760009765625</c:v>
                </c:pt>
                <c:pt idx="53">
                  <c:v>281.76998901367102</c:v>
                </c:pt>
                <c:pt idx="54">
                  <c:v>275.42001342773398</c:v>
                </c:pt>
                <c:pt idx="55">
                  <c:v>295.36999511718699</c:v>
                </c:pt>
                <c:pt idx="56">
                  <c:v>304.829986572265</c:v>
                </c:pt>
                <c:pt idx="57">
                  <c:v>307.260009765625</c:v>
                </c:pt>
                <c:pt idx="58">
                  <c:v>305.55999755859301</c:v>
                </c:pt>
                <c:pt idx="59">
                  <c:v>305.41000366210898</c:v>
                </c:pt>
                <c:pt idx="60">
                  <c:v>304.39999389648398</c:v>
                </c:pt>
                <c:pt idx="61">
                  <c:v>305.41000366210898</c:v>
                </c:pt>
                <c:pt idx="62">
                  <c:v>310.64999389648398</c:v>
                </c:pt>
              </c:numCache>
            </c:numRef>
          </c:val>
        </c:ser>
        <c:ser>
          <c:idx val="4"/>
          <c:order val="4"/>
          <c:tx>
            <c:strRef>
              <c:f>'stocks project'!$I$74</c:f>
              <c:strCache>
                <c:ptCount val="1"/>
                <c:pt idx="0">
                  <c:v>Adj Close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val>
            <c:numRef>
              <c:f>'stocks project'!$I$75:$I$137</c:f>
              <c:numCache>
                <c:formatCode>#,##0.0</c:formatCode>
                <c:ptCount val="63"/>
                <c:pt idx="1">
                  <c:v>266.891510009765</c:v>
                </c:pt>
                <c:pt idx="2">
                  <c:v>266.06359863281199</c:v>
                </c:pt>
                <c:pt idx="3">
                  <c:v>262.96136474609301</c:v>
                </c:pt>
                <c:pt idx="4">
                  <c:v>262.44265747070301</c:v>
                </c:pt>
                <c:pt idx="5">
                  <c:v>270.64212036132801</c:v>
                </c:pt>
                <c:pt idx="6">
                  <c:v>271.49002075195301</c:v>
                </c:pt>
                <c:pt idx="7">
                  <c:v>269.32000732421801</c:v>
                </c:pt>
                <c:pt idx="8">
                  <c:v>262.14999389648398</c:v>
                </c:pt>
                <c:pt idx="9">
                  <c:v>258.05999755859301</c:v>
                </c:pt>
                <c:pt idx="10">
                  <c:v>252.669998168945</c:v>
                </c:pt>
                <c:pt idx="11">
                  <c:v>251.509994506835</c:v>
                </c:pt>
                <c:pt idx="12">
                  <c:v>254.77000427246</c:v>
                </c:pt>
                <c:pt idx="13">
                  <c:v>249.22000122070301</c:v>
                </c:pt>
                <c:pt idx="14">
                  <c:v>250.16000366210901</c:v>
                </c:pt>
                <c:pt idx="15">
                  <c:v>249.419998168945</c:v>
                </c:pt>
                <c:pt idx="16">
                  <c:v>246.27000427246</c:v>
                </c:pt>
                <c:pt idx="17">
                  <c:v>251.11000061035099</c:v>
                </c:pt>
                <c:pt idx="18">
                  <c:v>255.28999328613199</c:v>
                </c:pt>
                <c:pt idx="19">
                  <c:v>256.86999511718699</c:v>
                </c:pt>
                <c:pt idx="20">
                  <c:v>254.14999389648401</c:v>
                </c:pt>
                <c:pt idx="21">
                  <c:v>253.69999694824199</c:v>
                </c:pt>
                <c:pt idx="22">
                  <c:v>252.32000732421801</c:v>
                </c:pt>
                <c:pt idx="23">
                  <c:v>248.58999633789</c:v>
                </c:pt>
                <c:pt idx="24">
                  <c:v>253.919998168945</c:v>
                </c:pt>
                <c:pt idx="25">
                  <c:v>260.79000854492102</c:v>
                </c:pt>
                <c:pt idx="26">
                  <c:v>265.44000244140602</c:v>
                </c:pt>
                <c:pt idx="27">
                  <c:v>276.20001220703102</c:v>
                </c:pt>
                <c:pt idx="28">
                  <c:v>279.42999267578102</c:v>
                </c:pt>
                <c:pt idx="29">
                  <c:v>272.23001098632801</c:v>
                </c:pt>
                <c:pt idx="30">
                  <c:v>273.77999877929602</c:v>
                </c:pt>
                <c:pt idx="31">
                  <c:v>272.29000854492102</c:v>
                </c:pt>
                <c:pt idx="32">
                  <c:v>277.66000366210898</c:v>
                </c:pt>
                <c:pt idx="33">
                  <c:v>280.57000732421801</c:v>
                </c:pt>
                <c:pt idx="34">
                  <c:v>276.38000488281199</c:v>
                </c:pt>
                <c:pt idx="35">
                  <c:v>275.23001098632801</c:v>
                </c:pt>
                <c:pt idx="36">
                  <c:v>280.510009765625</c:v>
                </c:pt>
                <c:pt idx="37">
                  <c:v>284.04998779296801</c:v>
                </c:pt>
                <c:pt idx="38">
                  <c:v>288.29998779296801</c:v>
                </c:pt>
                <c:pt idx="39">
                  <c:v>287.23001098632801</c:v>
                </c:pt>
                <c:pt idx="40">
                  <c:v>287.17999267578102</c:v>
                </c:pt>
                <c:pt idx="41">
                  <c:v>284.33999633789</c:v>
                </c:pt>
                <c:pt idx="42">
                  <c:v>291.600006103515</c:v>
                </c:pt>
                <c:pt idx="43">
                  <c:v>289.39001464843699</c:v>
                </c:pt>
                <c:pt idx="44">
                  <c:v>282.829986572265</c:v>
                </c:pt>
                <c:pt idx="45">
                  <c:v>283.489990234375</c:v>
                </c:pt>
                <c:pt idx="46">
                  <c:v>289.83999633789</c:v>
                </c:pt>
                <c:pt idx="47">
                  <c:v>286.14001464843699</c:v>
                </c:pt>
                <c:pt idx="48">
                  <c:v>288.79998779296801</c:v>
                </c:pt>
                <c:pt idx="49">
                  <c:v>288.36999511718699</c:v>
                </c:pt>
                <c:pt idx="50">
                  <c:v>288.45001220703102</c:v>
                </c:pt>
                <c:pt idx="51">
                  <c:v>286.10998535156199</c:v>
                </c:pt>
                <c:pt idx="52">
                  <c:v>285.760009765625</c:v>
                </c:pt>
                <c:pt idx="53">
                  <c:v>281.76998901367102</c:v>
                </c:pt>
                <c:pt idx="54">
                  <c:v>275.42001342773398</c:v>
                </c:pt>
                <c:pt idx="55">
                  <c:v>295.36999511718699</c:v>
                </c:pt>
                <c:pt idx="56">
                  <c:v>304.829986572265</c:v>
                </c:pt>
                <c:pt idx="57">
                  <c:v>307.260009765625</c:v>
                </c:pt>
                <c:pt idx="58">
                  <c:v>305.55999755859301</c:v>
                </c:pt>
                <c:pt idx="59">
                  <c:v>305.41000366210898</c:v>
                </c:pt>
                <c:pt idx="60">
                  <c:v>304.39999389648398</c:v>
                </c:pt>
                <c:pt idx="61">
                  <c:v>305.41000366210898</c:v>
                </c:pt>
                <c:pt idx="62">
                  <c:v>310.64999389648398</c:v>
                </c:pt>
              </c:numCache>
            </c:numRef>
          </c:val>
        </c:ser>
        <c:hiLowLines/>
        <c:upDownBars>
          <c:gapWidth val="150"/>
          <c:upBars/>
          <c:downBars/>
        </c:upDownBars>
        <c:axId val="72230016"/>
        <c:axId val="71626112"/>
      </c:stockChart>
      <c:catAx>
        <c:axId val="71623040"/>
        <c:scaling>
          <c:orientation val="minMax"/>
        </c:scaling>
        <c:axPos val="b"/>
        <c:majorTickMark val="none"/>
        <c:tickLblPos val="nextTo"/>
        <c:crossAx val="71624576"/>
        <c:crosses val="autoZero"/>
        <c:auto val="1"/>
        <c:lblAlgn val="ctr"/>
        <c:lblOffset val="100"/>
      </c:catAx>
      <c:valAx>
        <c:axId val="71624576"/>
        <c:scaling>
          <c:orientation val="minMax"/>
        </c:scaling>
        <c:axPos val="l"/>
        <c:numFmt formatCode="General" sourceLinked="1"/>
        <c:majorTickMark val="none"/>
        <c:tickLblPos val="nextTo"/>
        <c:crossAx val="71623040"/>
        <c:crosses val="autoZero"/>
        <c:crossBetween val="between"/>
      </c:valAx>
      <c:valAx>
        <c:axId val="71626112"/>
        <c:scaling>
          <c:orientation val="minMax"/>
        </c:scaling>
        <c:axPos val="r"/>
        <c:numFmt formatCode="General" sourceLinked="1"/>
        <c:tickLblPos val="nextTo"/>
        <c:crossAx val="72230016"/>
        <c:crosses val="max"/>
        <c:crossBetween val="between"/>
      </c:valAx>
      <c:catAx>
        <c:axId val="72230016"/>
        <c:scaling>
          <c:orientation val="minMax"/>
        </c:scaling>
        <c:delete val="1"/>
        <c:axPos val="b"/>
        <c:tickLblPos val="nextTo"/>
        <c:crossAx val="71626112"/>
        <c:crosses val="autoZero"/>
        <c:auto val="1"/>
        <c:lblAlgn val="ctr"/>
        <c:lblOffset val="100"/>
      </c:catAx>
    </c:plotArea>
    <c:plotVisOnly val="1"/>
    <c:dispBlanksAs val="gap"/>
  </c:chart>
  <c:spPr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strRef>
              <c:f>'stocks project'!$E$140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rgbClr val="C7A7B0"/>
            </a:solidFill>
            <a:ln w="28575">
              <a:noFill/>
            </a:ln>
          </c:spPr>
          <c:val>
            <c:numRef>
              <c:f>'stocks project'!$E$141:$E$203</c:f>
              <c:numCache>
                <c:formatCode>#,##0.0</c:formatCode>
                <c:ptCount val="63"/>
                <c:pt idx="1">
                  <c:v>358.510009765625</c:v>
                </c:pt>
                <c:pt idx="2">
                  <c:v>360.01998901367102</c:v>
                </c:pt>
                <c:pt idx="3">
                  <c:v>372.41000366210898</c:v>
                </c:pt>
                <c:pt idx="4">
                  <c:v>359.16000366210898</c:v>
                </c:pt>
                <c:pt idx="5">
                  <c:v>349.5</c:v>
                </c:pt>
                <c:pt idx="6">
                  <c:v>357.54998779296801</c:v>
                </c:pt>
                <c:pt idx="7">
                  <c:v>356.63000488281199</c:v>
                </c:pt>
                <c:pt idx="8">
                  <c:v>355</c:v>
                </c:pt>
                <c:pt idx="9">
                  <c:v>347.91000366210898</c:v>
                </c:pt>
                <c:pt idx="10">
                  <c:v>342.850006103515</c:v>
                </c:pt>
                <c:pt idx="11">
                  <c:v>337.5</c:v>
                </c:pt>
                <c:pt idx="12">
                  <c:v>331.23001098632801</c:v>
                </c:pt>
                <c:pt idx="13">
                  <c:v>319.29998779296801</c:v>
                </c:pt>
                <c:pt idx="14">
                  <c:v>323.86999511718699</c:v>
                </c:pt>
                <c:pt idx="15">
                  <c:v>323.70001220703102</c:v>
                </c:pt>
                <c:pt idx="16">
                  <c:v>321.54998779296801</c:v>
                </c:pt>
                <c:pt idx="17">
                  <c:v>310.95999145507801</c:v>
                </c:pt>
                <c:pt idx="18">
                  <c:v>315.45001220703102</c:v>
                </c:pt>
                <c:pt idx="19">
                  <c:v>317</c:v>
                </c:pt>
                <c:pt idx="20">
                  <c:v>312.67999267578102</c:v>
                </c:pt>
                <c:pt idx="21">
                  <c:v>309.29000854492102</c:v>
                </c:pt>
                <c:pt idx="22">
                  <c:v>312.079986572265</c:v>
                </c:pt>
                <c:pt idx="23">
                  <c:v>297.89999389648398</c:v>
                </c:pt>
                <c:pt idx="24">
                  <c:v>287.33999633789</c:v>
                </c:pt>
                <c:pt idx="25">
                  <c:v>295.97000122070301</c:v>
                </c:pt>
                <c:pt idx="26">
                  <c:v>292.510009765625</c:v>
                </c:pt>
                <c:pt idx="27">
                  <c:v>304.75</c:v>
                </c:pt>
                <c:pt idx="28">
                  <c:v>310.05999755859301</c:v>
                </c:pt>
                <c:pt idx="29">
                  <c:v>299.79000854492102</c:v>
                </c:pt>
                <c:pt idx="30">
                  <c:v>306.32000732421801</c:v>
                </c:pt>
                <c:pt idx="31">
                  <c:v>306.30999755859301</c:v>
                </c:pt>
                <c:pt idx="32">
                  <c:v>304.67999267578102</c:v>
                </c:pt>
                <c:pt idx="33">
                  <c:v>320.63000488281199</c:v>
                </c:pt>
                <c:pt idx="34">
                  <c:v>327.54998779296801</c:v>
                </c:pt>
                <c:pt idx="35">
                  <c:v>326.05999755859301</c:v>
                </c:pt>
                <c:pt idx="36">
                  <c:v>326.29000854492102</c:v>
                </c:pt>
                <c:pt idx="37">
                  <c:v>340.26998901367102</c:v>
                </c:pt>
                <c:pt idx="38">
                  <c:v>340.04998779296801</c:v>
                </c:pt>
                <c:pt idx="39">
                  <c:v>341.829986572265</c:v>
                </c:pt>
                <c:pt idx="40">
                  <c:v>348.489990234375</c:v>
                </c:pt>
                <c:pt idx="41">
                  <c:v>345.29998779296801</c:v>
                </c:pt>
                <c:pt idx="42">
                  <c:v>339.33999633789</c:v>
                </c:pt>
                <c:pt idx="43">
                  <c:v>335.26998901367102</c:v>
                </c:pt>
                <c:pt idx="44">
                  <c:v>343.45001220703102</c:v>
                </c:pt>
                <c:pt idx="45">
                  <c:v>340.80999755859301</c:v>
                </c:pt>
                <c:pt idx="46">
                  <c:v>339.989990234375</c:v>
                </c:pt>
                <c:pt idx="47">
                  <c:v>342.94000244140602</c:v>
                </c:pt>
                <c:pt idx="48">
                  <c:v>338</c:v>
                </c:pt>
                <c:pt idx="49">
                  <c:v>335</c:v>
                </c:pt>
                <c:pt idx="50">
                  <c:v>324.20999145507801</c:v>
                </c:pt>
                <c:pt idx="51">
                  <c:v>320.39001464843699</c:v>
                </c:pt>
                <c:pt idx="52">
                  <c:v>323</c:v>
                </c:pt>
                <c:pt idx="53">
                  <c:v>330.20001220703102</c:v>
                </c:pt>
                <c:pt idx="54">
                  <c:v>328.5</c:v>
                </c:pt>
                <c:pt idx="55">
                  <c:v>321.35998535156199</c:v>
                </c:pt>
                <c:pt idx="56">
                  <c:v>324.29998779296801</c:v>
                </c:pt>
                <c:pt idx="57">
                  <c:v>325.239990234375</c:v>
                </c:pt>
                <c:pt idx="58">
                  <c:v>329.44000244140602</c:v>
                </c:pt>
                <c:pt idx="59">
                  <c:v>325</c:v>
                </c:pt>
                <c:pt idx="60">
                  <c:v>317.54998779296801</c:v>
                </c:pt>
                <c:pt idx="61">
                  <c:v>319.010009765625</c:v>
                </c:pt>
                <c:pt idx="62">
                  <c:v>323.60998535156199</c:v>
                </c:pt>
              </c:numCache>
            </c:numRef>
          </c:val>
        </c:ser>
        <c:axId val="124422400"/>
        <c:axId val="125413632"/>
      </c:barChart>
      <c:stockChart>
        <c:ser>
          <c:idx val="1"/>
          <c:order val="1"/>
          <c:tx>
            <c:strRef>
              <c:f>'stocks project'!$F$140</c:f>
              <c:strCache>
                <c:ptCount val="1"/>
                <c:pt idx="0">
                  <c:v>High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val>
            <c:numRef>
              <c:f>'stocks project'!$F$141:$F$203</c:f>
              <c:numCache>
                <c:formatCode>#,##0.0</c:formatCode>
                <c:ptCount val="63"/>
                <c:pt idx="1">
                  <c:v>364.17999267578102</c:v>
                </c:pt>
                <c:pt idx="2">
                  <c:v>368.19000244140602</c:v>
                </c:pt>
                <c:pt idx="3">
                  <c:v>373.829986572265</c:v>
                </c:pt>
                <c:pt idx="4">
                  <c:v>362.14001464843699</c:v>
                </c:pt>
                <c:pt idx="5">
                  <c:v>359.70001220703102</c:v>
                </c:pt>
                <c:pt idx="6">
                  <c:v>363.75</c:v>
                </c:pt>
                <c:pt idx="7">
                  <c:v>362.88000488281199</c:v>
                </c:pt>
                <c:pt idx="8">
                  <c:v>361.5</c:v>
                </c:pt>
                <c:pt idx="9">
                  <c:v>349</c:v>
                </c:pt>
                <c:pt idx="10">
                  <c:v>344.13000488281199</c:v>
                </c:pt>
                <c:pt idx="11">
                  <c:v>341.91000366210898</c:v>
                </c:pt>
                <c:pt idx="12">
                  <c:v>331.27999877929602</c:v>
                </c:pt>
                <c:pt idx="13">
                  <c:v>321.5</c:v>
                </c:pt>
                <c:pt idx="14">
                  <c:v>330</c:v>
                </c:pt>
                <c:pt idx="15">
                  <c:v>327.61999511718699</c:v>
                </c:pt>
                <c:pt idx="16">
                  <c:v>326.600006103515</c:v>
                </c:pt>
                <c:pt idx="17">
                  <c:v>315.57000732421801</c:v>
                </c:pt>
                <c:pt idx="18">
                  <c:v>317.489990234375</c:v>
                </c:pt>
                <c:pt idx="19">
                  <c:v>323.29998779296801</c:v>
                </c:pt>
                <c:pt idx="20">
                  <c:v>314.29998779296801</c:v>
                </c:pt>
                <c:pt idx="21">
                  <c:v>311.829986572265</c:v>
                </c:pt>
                <c:pt idx="22">
                  <c:v>312.510009765625</c:v>
                </c:pt>
                <c:pt idx="23">
                  <c:v>298.79000854492102</c:v>
                </c:pt>
                <c:pt idx="24">
                  <c:v>299.239990234375</c:v>
                </c:pt>
                <c:pt idx="25">
                  <c:v>297.45001220703102</c:v>
                </c:pt>
                <c:pt idx="26">
                  <c:v>306.30999755859301</c:v>
                </c:pt>
                <c:pt idx="27">
                  <c:v>316.600006103515</c:v>
                </c:pt>
                <c:pt idx="28">
                  <c:v>310.760009765625</c:v>
                </c:pt>
                <c:pt idx="29">
                  <c:v>307.5</c:v>
                </c:pt>
                <c:pt idx="30">
                  <c:v>307.92001342773398</c:v>
                </c:pt>
                <c:pt idx="31">
                  <c:v>306.45001220703102</c:v>
                </c:pt>
                <c:pt idx="32">
                  <c:v>322.77999877929602</c:v>
                </c:pt>
                <c:pt idx="33">
                  <c:v>331.829986572265</c:v>
                </c:pt>
                <c:pt idx="34">
                  <c:v>336.44000244140602</c:v>
                </c:pt>
                <c:pt idx="35">
                  <c:v>333.32000732421801</c:v>
                </c:pt>
                <c:pt idx="36">
                  <c:v>332.850006103515</c:v>
                </c:pt>
                <c:pt idx="37">
                  <c:v>343.29000854492102</c:v>
                </c:pt>
                <c:pt idx="38">
                  <c:v>345.83999633789</c:v>
                </c:pt>
                <c:pt idx="39">
                  <c:v>348.579986572265</c:v>
                </c:pt>
                <c:pt idx="40">
                  <c:v>349.79998779296801</c:v>
                </c:pt>
                <c:pt idx="41">
                  <c:v>345.42999267578102</c:v>
                </c:pt>
                <c:pt idx="42">
                  <c:v>340.48001098632801</c:v>
                </c:pt>
                <c:pt idx="43">
                  <c:v>339.88000488281199</c:v>
                </c:pt>
                <c:pt idx="44">
                  <c:v>347.14001464843699</c:v>
                </c:pt>
                <c:pt idx="45">
                  <c:v>342.79998779296801</c:v>
                </c:pt>
                <c:pt idx="46">
                  <c:v>346.42999267578102</c:v>
                </c:pt>
                <c:pt idx="47">
                  <c:v>344.850006103515</c:v>
                </c:pt>
                <c:pt idx="48">
                  <c:v>338.39001464843699</c:v>
                </c:pt>
                <c:pt idx="49">
                  <c:v>337.19000244140602</c:v>
                </c:pt>
                <c:pt idx="50">
                  <c:v>325.75</c:v>
                </c:pt>
                <c:pt idx="51">
                  <c:v>331.42999267578102</c:v>
                </c:pt>
                <c:pt idx="52">
                  <c:v>328.29000854492102</c:v>
                </c:pt>
                <c:pt idx="53">
                  <c:v>334.66000366210898</c:v>
                </c:pt>
                <c:pt idx="54">
                  <c:v>328.66000366210898</c:v>
                </c:pt>
                <c:pt idx="55">
                  <c:v>325.89999389648398</c:v>
                </c:pt>
                <c:pt idx="56">
                  <c:v>327.45001220703102</c:v>
                </c:pt>
                <c:pt idx="57">
                  <c:v>330.80999755859301</c:v>
                </c:pt>
                <c:pt idx="58">
                  <c:v>331.23001098632801</c:v>
                </c:pt>
                <c:pt idx="59">
                  <c:v>326.07000732421801</c:v>
                </c:pt>
                <c:pt idx="60">
                  <c:v>324.61999511718699</c:v>
                </c:pt>
                <c:pt idx="61">
                  <c:v>323.60998535156199</c:v>
                </c:pt>
                <c:pt idx="62">
                  <c:v>324.14999389648398</c:v>
                </c:pt>
              </c:numCache>
            </c:numRef>
          </c:val>
        </c:ser>
        <c:ser>
          <c:idx val="2"/>
          <c:order val="2"/>
          <c:tx>
            <c:strRef>
              <c:f>'stocks project'!$G$140</c:f>
              <c:strCache>
                <c:ptCount val="1"/>
                <c:pt idx="0">
                  <c:v>Low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val>
            <c:numRef>
              <c:f>'stocks project'!$G$141:$G$203</c:f>
              <c:numCache>
                <c:formatCode>#,##0.0</c:formatCode>
                <c:ptCount val="63"/>
                <c:pt idx="1">
                  <c:v>354.17999267578102</c:v>
                </c:pt>
                <c:pt idx="2">
                  <c:v>358.30999755859301</c:v>
                </c:pt>
                <c:pt idx="3">
                  <c:v>361.739990234375</c:v>
                </c:pt>
                <c:pt idx="4">
                  <c:v>347.14001464843699</c:v>
                </c:pt>
                <c:pt idx="5">
                  <c:v>344.25</c:v>
                </c:pt>
                <c:pt idx="6">
                  <c:v>353.39999389648398</c:v>
                </c:pt>
                <c:pt idx="7">
                  <c:v>354.239990234375</c:v>
                </c:pt>
                <c:pt idx="8">
                  <c:v>350.30999755859301</c:v>
                </c:pt>
                <c:pt idx="9">
                  <c:v>342.44000244140602</c:v>
                </c:pt>
                <c:pt idx="10">
                  <c:v>336.42001342773398</c:v>
                </c:pt>
                <c:pt idx="11">
                  <c:v>332.82000732421801</c:v>
                </c:pt>
                <c:pt idx="12">
                  <c:v>314.29998779296801</c:v>
                </c:pt>
                <c:pt idx="13">
                  <c:v>314.51998901367102</c:v>
                </c:pt>
                <c:pt idx="14">
                  <c:v>322.11999511718699</c:v>
                </c:pt>
                <c:pt idx="15">
                  <c:v>321.17001342773398</c:v>
                </c:pt>
                <c:pt idx="16">
                  <c:v>312.35998535156199</c:v>
                </c:pt>
                <c:pt idx="17">
                  <c:v>310.38000488281199</c:v>
                </c:pt>
                <c:pt idx="18">
                  <c:v>310.82000732421801</c:v>
                </c:pt>
                <c:pt idx="19">
                  <c:v>311.83999633789</c:v>
                </c:pt>
                <c:pt idx="20">
                  <c:v>306.61999511718699</c:v>
                </c:pt>
                <c:pt idx="21">
                  <c:v>305.75</c:v>
                </c:pt>
                <c:pt idx="22">
                  <c:v>294.88000488281199</c:v>
                </c:pt>
                <c:pt idx="23">
                  <c:v>289</c:v>
                </c:pt>
                <c:pt idx="24">
                  <c:v>285.329986572265</c:v>
                </c:pt>
                <c:pt idx="25">
                  <c:v>290.30999755859301</c:v>
                </c:pt>
                <c:pt idx="26">
                  <c:v>292.27999877929602</c:v>
                </c:pt>
                <c:pt idx="27">
                  <c:v>301.70999145507801</c:v>
                </c:pt>
                <c:pt idx="28">
                  <c:v>300</c:v>
                </c:pt>
                <c:pt idx="29">
                  <c:v>296</c:v>
                </c:pt>
                <c:pt idx="30">
                  <c:v>300.42999267578102</c:v>
                </c:pt>
                <c:pt idx="31">
                  <c:v>293.54000854492102</c:v>
                </c:pt>
                <c:pt idx="32">
                  <c:v>304.14001464843699</c:v>
                </c:pt>
                <c:pt idx="33">
                  <c:v>320.63000488281199</c:v>
                </c:pt>
                <c:pt idx="34">
                  <c:v>324.41000366210898</c:v>
                </c:pt>
                <c:pt idx="35">
                  <c:v>321.27999877929602</c:v>
                </c:pt>
                <c:pt idx="36">
                  <c:v>325.73001098632801</c:v>
                </c:pt>
                <c:pt idx="37">
                  <c:v>335.29998779296801</c:v>
                </c:pt>
                <c:pt idx="38">
                  <c:v>337.20001220703102</c:v>
                </c:pt>
                <c:pt idx="39">
                  <c:v>340.39999389648398</c:v>
                </c:pt>
                <c:pt idx="40">
                  <c:v>343.95001220703102</c:v>
                </c:pt>
                <c:pt idx="41">
                  <c:v>336.25</c:v>
                </c:pt>
                <c:pt idx="42">
                  <c:v>332.63000488281199</c:v>
                </c:pt>
                <c:pt idx="43">
                  <c:v>333.35998535156199</c:v>
                </c:pt>
                <c:pt idx="44">
                  <c:v>337.64001464843699</c:v>
                </c:pt>
                <c:pt idx="45">
                  <c:v>330.04000854492102</c:v>
                </c:pt>
                <c:pt idx="46">
                  <c:v>338.75</c:v>
                </c:pt>
                <c:pt idx="47">
                  <c:v>336.41000366210898</c:v>
                </c:pt>
                <c:pt idx="48">
                  <c:v>327.5</c:v>
                </c:pt>
                <c:pt idx="49">
                  <c:v>330.5</c:v>
                </c:pt>
                <c:pt idx="50">
                  <c:v>316.100006103515</c:v>
                </c:pt>
                <c:pt idx="51">
                  <c:v>318.329986572265</c:v>
                </c:pt>
                <c:pt idx="52">
                  <c:v>319.5</c:v>
                </c:pt>
                <c:pt idx="53">
                  <c:v>326.75</c:v>
                </c:pt>
                <c:pt idx="54">
                  <c:v>321.100006103515</c:v>
                </c:pt>
                <c:pt idx="55">
                  <c:v>320.47000122070301</c:v>
                </c:pt>
                <c:pt idx="56">
                  <c:v>317.44000244140602</c:v>
                </c:pt>
                <c:pt idx="57">
                  <c:v>324</c:v>
                </c:pt>
                <c:pt idx="58">
                  <c:v>318.08999633789</c:v>
                </c:pt>
                <c:pt idx="59">
                  <c:v>315.61999511718699</c:v>
                </c:pt>
                <c:pt idx="60">
                  <c:v>315.850006103515</c:v>
                </c:pt>
                <c:pt idx="61">
                  <c:v>317.95001220703102</c:v>
                </c:pt>
                <c:pt idx="62">
                  <c:v>319.44000244140602</c:v>
                </c:pt>
              </c:numCache>
            </c:numRef>
          </c:val>
        </c:ser>
        <c:ser>
          <c:idx val="3"/>
          <c:order val="3"/>
          <c:tx>
            <c:strRef>
              <c:f>'stocks project'!$H$140</c:f>
              <c:strCache>
                <c:ptCount val="1"/>
                <c:pt idx="0">
                  <c:v>Close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val>
            <c:numRef>
              <c:f>'stocks project'!$H$141:$H$203</c:f>
              <c:numCache>
                <c:formatCode>#,##0.0</c:formatCode>
                <c:ptCount val="63"/>
                <c:pt idx="1">
                  <c:v>362.95001220703102</c:v>
                </c:pt>
                <c:pt idx="2">
                  <c:v>366.829986572265</c:v>
                </c:pt>
                <c:pt idx="3">
                  <c:v>362.5</c:v>
                </c:pt>
                <c:pt idx="4">
                  <c:v>347.35998535156199</c:v>
                </c:pt>
                <c:pt idx="5">
                  <c:v>358.57000732421801</c:v>
                </c:pt>
                <c:pt idx="6">
                  <c:v>359.95999145507801</c:v>
                </c:pt>
                <c:pt idx="7">
                  <c:v>361.42001342773398</c:v>
                </c:pt>
                <c:pt idx="8">
                  <c:v>350.70999145507801</c:v>
                </c:pt>
                <c:pt idx="9">
                  <c:v>347.95999145507801</c:v>
                </c:pt>
                <c:pt idx="10">
                  <c:v>337.5</c:v>
                </c:pt>
                <c:pt idx="11">
                  <c:v>334.88000488281199</c:v>
                </c:pt>
                <c:pt idx="12">
                  <c:v>323.64999389648398</c:v>
                </c:pt>
                <c:pt idx="13">
                  <c:v>317.14999389648398</c:v>
                </c:pt>
                <c:pt idx="14">
                  <c:v>323.02999877929602</c:v>
                </c:pt>
                <c:pt idx="15">
                  <c:v>322.13000488281199</c:v>
                </c:pt>
                <c:pt idx="16">
                  <c:v>313.48001098632801</c:v>
                </c:pt>
                <c:pt idx="17">
                  <c:v>311.88000488281199</c:v>
                </c:pt>
                <c:pt idx="18">
                  <c:v>315.17999267578102</c:v>
                </c:pt>
                <c:pt idx="19">
                  <c:v>312.02999877929602</c:v>
                </c:pt>
                <c:pt idx="20">
                  <c:v>308.47000122070301</c:v>
                </c:pt>
                <c:pt idx="21">
                  <c:v>311.79000854492102</c:v>
                </c:pt>
                <c:pt idx="22">
                  <c:v>297.77999877929602</c:v>
                </c:pt>
                <c:pt idx="23">
                  <c:v>292.760009765625</c:v>
                </c:pt>
                <c:pt idx="24">
                  <c:v>293.510009765625</c:v>
                </c:pt>
                <c:pt idx="25">
                  <c:v>294.94000244140602</c:v>
                </c:pt>
                <c:pt idx="26">
                  <c:v>303.79000854492102</c:v>
                </c:pt>
                <c:pt idx="27">
                  <c:v>310.05999755859301</c:v>
                </c:pt>
                <c:pt idx="28">
                  <c:v>303.5</c:v>
                </c:pt>
                <c:pt idx="29">
                  <c:v>305.13000488281199</c:v>
                </c:pt>
                <c:pt idx="30">
                  <c:v>305.79000854492102</c:v>
                </c:pt>
                <c:pt idx="31">
                  <c:v>293.89999389648398</c:v>
                </c:pt>
                <c:pt idx="32">
                  <c:v>320.36999511718699</c:v>
                </c:pt>
                <c:pt idx="33">
                  <c:v>328.39001464843699</c:v>
                </c:pt>
                <c:pt idx="34">
                  <c:v>327.66000366210898</c:v>
                </c:pt>
                <c:pt idx="35">
                  <c:v>323.51998901367102</c:v>
                </c:pt>
                <c:pt idx="36">
                  <c:v>332.02999877929602</c:v>
                </c:pt>
                <c:pt idx="37">
                  <c:v>338.42999267578102</c:v>
                </c:pt>
                <c:pt idx="38">
                  <c:v>345.48001098632801</c:v>
                </c:pt>
                <c:pt idx="39">
                  <c:v>348.27999877929602</c:v>
                </c:pt>
                <c:pt idx="40">
                  <c:v>346.75</c:v>
                </c:pt>
                <c:pt idx="41">
                  <c:v>342.350006103515</c:v>
                </c:pt>
                <c:pt idx="42">
                  <c:v>339.329986572265</c:v>
                </c:pt>
                <c:pt idx="43">
                  <c:v>338.989990234375</c:v>
                </c:pt>
                <c:pt idx="44">
                  <c:v>338.20999145507801</c:v>
                </c:pt>
                <c:pt idx="45">
                  <c:v>331.02999877929602</c:v>
                </c:pt>
                <c:pt idx="46">
                  <c:v>346.19000244140602</c:v>
                </c:pt>
                <c:pt idx="47">
                  <c:v>338.63000488281199</c:v>
                </c:pt>
                <c:pt idx="48">
                  <c:v>332.72000122070301</c:v>
                </c:pt>
                <c:pt idx="49">
                  <c:v>333.70001220703102</c:v>
                </c:pt>
                <c:pt idx="50">
                  <c:v>323.11999511718699</c:v>
                </c:pt>
                <c:pt idx="51">
                  <c:v>325.350006103515</c:v>
                </c:pt>
                <c:pt idx="52">
                  <c:v>327.98001098632801</c:v>
                </c:pt>
                <c:pt idx="53">
                  <c:v>329.01998901367102</c:v>
                </c:pt>
                <c:pt idx="54">
                  <c:v>322.54998779296801</c:v>
                </c:pt>
                <c:pt idx="55">
                  <c:v>321.14999389648398</c:v>
                </c:pt>
                <c:pt idx="56">
                  <c:v>325.850006103515</c:v>
                </c:pt>
                <c:pt idx="57">
                  <c:v>329.92999267578102</c:v>
                </c:pt>
                <c:pt idx="58">
                  <c:v>324.11999511718699</c:v>
                </c:pt>
                <c:pt idx="59">
                  <c:v>317.54998779296801</c:v>
                </c:pt>
                <c:pt idx="60">
                  <c:v>319.29998779296801</c:v>
                </c:pt>
                <c:pt idx="61">
                  <c:v>320.77999877929602</c:v>
                </c:pt>
                <c:pt idx="62">
                  <c:v>322.760009765625</c:v>
                </c:pt>
              </c:numCache>
            </c:numRef>
          </c:val>
        </c:ser>
        <c:ser>
          <c:idx val="4"/>
          <c:order val="4"/>
          <c:tx>
            <c:strRef>
              <c:f>'stocks project'!$I$140</c:f>
              <c:strCache>
                <c:ptCount val="1"/>
                <c:pt idx="0">
                  <c:v>Adj Close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val>
            <c:numRef>
              <c:f>'stocks project'!$I$141:$I$203</c:f>
              <c:numCache>
                <c:formatCode>#,##0.0</c:formatCode>
                <c:ptCount val="63"/>
                <c:pt idx="1">
                  <c:v>362.95001220703102</c:v>
                </c:pt>
                <c:pt idx="2">
                  <c:v>366.829986572265</c:v>
                </c:pt>
                <c:pt idx="3">
                  <c:v>362.5</c:v>
                </c:pt>
                <c:pt idx="4">
                  <c:v>347.35998535156199</c:v>
                </c:pt>
                <c:pt idx="5">
                  <c:v>358.57000732421801</c:v>
                </c:pt>
                <c:pt idx="6">
                  <c:v>359.95999145507801</c:v>
                </c:pt>
                <c:pt idx="7">
                  <c:v>361.42001342773398</c:v>
                </c:pt>
                <c:pt idx="8">
                  <c:v>350.70999145507801</c:v>
                </c:pt>
                <c:pt idx="9">
                  <c:v>347.95999145507801</c:v>
                </c:pt>
                <c:pt idx="10">
                  <c:v>337.5</c:v>
                </c:pt>
                <c:pt idx="11">
                  <c:v>334.88000488281199</c:v>
                </c:pt>
                <c:pt idx="12">
                  <c:v>323.64999389648398</c:v>
                </c:pt>
                <c:pt idx="13">
                  <c:v>317.14999389648398</c:v>
                </c:pt>
                <c:pt idx="14">
                  <c:v>323.02999877929602</c:v>
                </c:pt>
                <c:pt idx="15">
                  <c:v>322.13000488281199</c:v>
                </c:pt>
                <c:pt idx="16">
                  <c:v>313.48001098632801</c:v>
                </c:pt>
                <c:pt idx="17">
                  <c:v>311.88000488281199</c:v>
                </c:pt>
                <c:pt idx="18">
                  <c:v>315.17999267578102</c:v>
                </c:pt>
                <c:pt idx="19">
                  <c:v>312.02999877929602</c:v>
                </c:pt>
                <c:pt idx="20">
                  <c:v>308.47000122070301</c:v>
                </c:pt>
                <c:pt idx="21">
                  <c:v>311.79000854492102</c:v>
                </c:pt>
                <c:pt idx="22">
                  <c:v>297.77999877929602</c:v>
                </c:pt>
                <c:pt idx="23">
                  <c:v>292.760009765625</c:v>
                </c:pt>
                <c:pt idx="24">
                  <c:v>293.510009765625</c:v>
                </c:pt>
                <c:pt idx="25">
                  <c:v>294.94000244140602</c:v>
                </c:pt>
                <c:pt idx="26">
                  <c:v>303.79000854492102</c:v>
                </c:pt>
                <c:pt idx="27">
                  <c:v>310.05999755859301</c:v>
                </c:pt>
                <c:pt idx="28">
                  <c:v>303.5</c:v>
                </c:pt>
                <c:pt idx="29">
                  <c:v>305.13000488281199</c:v>
                </c:pt>
                <c:pt idx="30">
                  <c:v>305.79000854492102</c:v>
                </c:pt>
                <c:pt idx="31">
                  <c:v>293.89999389648398</c:v>
                </c:pt>
                <c:pt idx="32">
                  <c:v>320.36999511718699</c:v>
                </c:pt>
                <c:pt idx="33">
                  <c:v>328.39001464843699</c:v>
                </c:pt>
                <c:pt idx="34">
                  <c:v>327.66000366210898</c:v>
                </c:pt>
                <c:pt idx="35">
                  <c:v>323.51998901367102</c:v>
                </c:pt>
                <c:pt idx="36">
                  <c:v>332.02999877929602</c:v>
                </c:pt>
                <c:pt idx="37">
                  <c:v>338.42999267578102</c:v>
                </c:pt>
                <c:pt idx="38">
                  <c:v>345.48001098632801</c:v>
                </c:pt>
                <c:pt idx="39">
                  <c:v>348.27999877929602</c:v>
                </c:pt>
                <c:pt idx="40">
                  <c:v>346.75</c:v>
                </c:pt>
                <c:pt idx="41">
                  <c:v>342.350006103515</c:v>
                </c:pt>
                <c:pt idx="42">
                  <c:v>339.329986572265</c:v>
                </c:pt>
                <c:pt idx="43">
                  <c:v>338.989990234375</c:v>
                </c:pt>
                <c:pt idx="44">
                  <c:v>338.20999145507801</c:v>
                </c:pt>
                <c:pt idx="45">
                  <c:v>331.02999877929602</c:v>
                </c:pt>
                <c:pt idx="46">
                  <c:v>346.19000244140602</c:v>
                </c:pt>
                <c:pt idx="47">
                  <c:v>338.63000488281199</c:v>
                </c:pt>
                <c:pt idx="48">
                  <c:v>332.72000122070301</c:v>
                </c:pt>
                <c:pt idx="49">
                  <c:v>333.70001220703102</c:v>
                </c:pt>
                <c:pt idx="50">
                  <c:v>323.11999511718699</c:v>
                </c:pt>
                <c:pt idx="51">
                  <c:v>325.350006103515</c:v>
                </c:pt>
                <c:pt idx="52">
                  <c:v>327.98001098632801</c:v>
                </c:pt>
                <c:pt idx="53">
                  <c:v>329.01998901367102</c:v>
                </c:pt>
                <c:pt idx="54">
                  <c:v>322.54998779296801</c:v>
                </c:pt>
                <c:pt idx="55">
                  <c:v>321.14999389648398</c:v>
                </c:pt>
                <c:pt idx="56">
                  <c:v>325.850006103515</c:v>
                </c:pt>
                <c:pt idx="57">
                  <c:v>329.92999267578102</c:v>
                </c:pt>
                <c:pt idx="58">
                  <c:v>324.11999511718699</c:v>
                </c:pt>
                <c:pt idx="59">
                  <c:v>317.54998779296801</c:v>
                </c:pt>
                <c:pt idx="60">
                  <c:v>319.29998779296801</c:v>
                </c:pt>
                <c:pt idx="61">
                  <c:v>320.77999877929602</c:v>
                </c:pt>
                <c:pt idx="62">
                  <c:v>322.760009765625</c:v>
                </c:pt>
              </c:numCache>
            </c:numRef>
          </c:val>
        </c:ser>
        <c:hiLowLines/>
        <c:upDownBars>
          <c:gapWidth val="150"/>
          <c:upBars/>
          <c:downBars/>
        </c:upDownBars>
        <c:axId val="126584320"/>
        <c:axId val="126582784"/>
      </c:stockChart>
      <c:catAx>
        <c:axId val="124422400"/>
        <c:scaling>
          <c:orientation val="minMax"/>
        </c:scaling>
        <c:axPos val="b"/>
        <c:majorTickMark val="none"/>
        <c:tickLblPos val="nextTo"/>
        <c:crossAx val="125413632"/>
        <c:crosses val="autoZero"/>
        <c:auto val="1"/>
        <c:lblAlgn val="ctr"/>
        <c:lblOffset val="100"/>
      </c:catAx>
      <c:valAx>
        <c:axId val="125413632"/>
        <c:scaling>
          <c:orientation val="minMax"/>
        </c:scaling>
        <c:axPos val="l"/>
        <c:numFmt formatCode="#,##0.0" sourceLinked="1"/>
        <c:majorTickMark val="none"/>
        <c:tickLblPos val="nextTo"/>
        <c:crossAx val="124422400"/>
        <c:crosses val="autoZero"/>
        <c:crossBetween val="between"/>
      </c:valAx>
      <c:valAx>
        <c:axId val="126582784"/>
        <c:scaling>
          <c:orientation val="minMax"/>
        </c:scaling>
        <c:axPos val="r"/>
        <c:numFmt formatCode="#,##0.0" sourceLinked="1"/>
        <c:tickLblPos val="nextTo"/>
        <c:crossAx val="126584320"/>
        <c:crosses val="max"/>
        <c:crossBetween val="between"/>
      </c:valAx>
      <c:catAx>
        <c:axId val="126584320"/>
        <c:scaling>
          <c:orientation val="minMax"/>
        </c:scaling>
        <c:delete val="1"/>
        <c:axPos val="b"/>
        <c:tickLblPos val="nextTo"/>
        <c:crossAx val="126582784"/>
        <c:crosses val="autoZero"/>
        <c:auto val="1"/>
        <c:lblAlgn val="ctr"/>
        <c:lblOffset val="100"/>
      </c:catAx>
    </c:plotArea>
    <c:plotVisOnly val="1"/>
    <c:dispBlanksAs val="gap"/>
  </c:chart>
  <c:spPr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strRef>
              <c:f>'stocks project'!$E$206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rgbClr val="C7A7B0"/>
            </a:solidFill>
            <a:ln w="28575">
              <a:noFill/>
            </a:ln>
          </c:spPr>
          <c:val>
            <c:numRef>
              <c:f>'stocks project'!$E$207:$E$269</c:f>
              <c:numCache>
                <c:formatCode>#,##0.0</c:formatCode>
                <c:ptCount val="63"/>
                <c:pt idx="1">
                  <c:v>103.629997253417</c:v>
                </c:pt>
                <c:pt idx="2">
                  <c:v>102.69000244140599</c:v>
                </c:pt>
                <c:pt idx="3">
                  <c:v>100.540000915527</c:v>
                </c:pt>
                <c:pt idx="4">
                  <c:v>95.739997863769503</c:v>
                </c:pt>
                <c:pt idx="5">
                  <c:v>95.010002136230398</c:v>
                </c:pt>
                <c:pt idx="6">
                  <c:v>94.660003662109304</c:v>
                </c:pt>
                <c:pt idx="7">
                  <c:v>94.739997863769503</c:v>
                </c:pt>
                <c:pt idx="8">
                  <c:v>95.540000915527301</c:v>
                </c:pt>
                <c:pt idx="9">
                  <c:v>95.069999694824205</c:v>
                </c:pt>
                <c:pt idx="10">
                  <c:v>93.239997863769503</c:v>
                </c:pt>
                <c:pt idx="11">
                  <c:v>91.933998107910099</c:v>
                </c:pt>
                <c:pt idx="12">
                  <c:v>92.129997253417898</c:v>
                </c:pt>
                <c:pt idx="13">
                  <c:v>89.629997253417898</c:v>
                </c:pt>
                <c:pt idx="14">
                  <c:v>90.089996337890597</c:v>
                </c:pt>
                <c:pt idx="15">
                  <c:v>89.540000915527301</c:v>
                </c:pt>
                <c:pt idx="16">
                  <c:v>90.160003662109304</c:v>
                </c:pt>
                <c:pt idx="17">
                  <c:v>89.860000610351506</c:v>
                </c:pt>
                <c:pt idx="18">
                  <c:v>92.739997863769503</c:v>
                </c:pt>
                <c:pt idx="19">
                  <c:v>94.360000610351506</c:v>
                </c:pt>
                <c:pt idx="20">
                  <c:v>95.419998168945298</c:v>
                </c:pt>
                <c:pt idx="21">
                  <c:v>94.404998779296804</c:v>
                </c:pt>
                <c:pt idx="22">
                  <c:v>94.489997863769503</c:v>
                </c:pt>
                <c:pt idx="23">
                  <c:v>92.5</c:v>
                </c:pt>
                <c:pt idx="24">
                  <c:v>90.565002441406193</c:v>
                </c:pt>
                <c:pt idx="25">
                  <c:v>93.069999694824205</c:v>
                </c:pt>
                <c:pt idx="26">
                  <c:v>93.540000915527301</c:v>
                </c:pt>
                <c:pt idx="27">
                  <c:v>96.569999694824205</c:v>
                </c:pt>
                <c:pt idx="28">
                  <c:v>100.83999633789</c:v>
                </c:pt>
                <c:pt idx="29">
                  <c:v>101.059997558593</c:v>
                </c:pt>
                <c:pt idx="30">
                  <c:v>101.980003356933</c:v>
                </c:pt>
                <c:pt idx="31">
                  <c:v>105.139999389648</c:v>
                </c:pt>
                <c:pt idx="32">
                  <c:v>105.889999389648</c:v>
                </c:pt>
                <c:pt idx="33">
                  <c:v>105.73999786376901</c:v>
                </c:pt>
                <c:pt idx="34">
                  <c:v>105.31999969482401</c:v>
                </c:pt>
                <c:pt idx="35">
                  <c:v>103</c:v>
                </c:pt>
                <c:pt idx="36">
                  <c:v>102.720001220703</c:v>
                </c:pt>
                <c:pt idx="37">
                  <c:v>101.44000244140599</c:v>
                </c:pt>
                <c:pt idx="38">
                  <c:v>101.709999084472</c:v>
                </c:pt>
                <c:pt idx="39">
                  <c:v>102.669998168945</c:v>
                </c:pt>
                <c:pt idx="40">
                  <c:v>104.83999633789</c:v>
                </c:pt>
                <c:pt idx="41">
                  <c:v>106.120002746582</c:v>
                </c:pt>
                <c:pt idx="42">
                  <c:v>105.76999664306599</c:v>
                </c:pt>
                <c:pt idx="43">
                  <c:v>107.389999389648</c:v>
                </c:pt>
                <c:pt idx="44">
                  <c:v>106.919998168945</c:v>
                </c:pt>
                <c:pt idx="45">
                  <c:v>107.389999389648</c:v>
                </c:pt>
                <c:pt idx="46">
                  <c:v>106.470001220703</c:v>
                </c:pt>
                <c:pt idx="47">
                  <c:v>107.69000244140599</c:v>
                </c:pt>
                <c:pt idx="48">
                  <c:v>105.430000305175</c:v>
                </c:pt>
                <c:pt idx="49">
                  <c:v>107</c:v>
                </c:pt>
                <c:pt idx="50">
                  <c:v>104.21499633789</c:v>
                </c:pt>
                <c:pt idx="51">
                  <c:v>104.650001525878</c:v>
                </c:pt>
                <c:pt idx="52">
                  <c:v>106.08999633789</c:v>
                </c:pt>
                <c:pt idx="53">
                  <c:v>106.050003051757</c:v>
                </c:pt>
                <c:pt idx="54">
                  <c:v>106.61000061035099</c:v>
                </c:pt>
                <c:pt idx="55">
                  <c:v>105.559997558593</c:v>
                </c:pt>
                <c:pt idx="56">
                  <c:v>105.230003356933</c:v>
                </c:pt>
                <c:pt idx="57">
                  <c:v>107.800003051757</c:v>
                </c:pt>
                <c:pt idx="58">
                  <c:v>107.720001220703</c:v>
                </c:pt>
                <c:pt idx="59">
                  <c:v>107.66000366210901</c:v>
                </c:pt>
                <c:pt idx="60">
                  <c:v>106.220001220703</c:v>
                </c:pt>
                <c:pt idx="61">
                  <c:v>106.16000366210901</c:v>
                </c:pt>
                <c:pt idx="62">
                  <c:v>105.31999969482401</c:v>
                </c:pt>
              </c:numCache>
            </c:numRef>
          </c:val>
        </c:ser>
        <c:axId val="95214592"/>
        <c:axId val="99732096"/>
      </c:barChart>
      <c:stockChart>
        <c:ser>
          <c:idx val="1"/>
          <c:order val="1"/>
          <c:tx>
            <c:strRef>
              <c:f>'stocks project'!$F$206</c:f>
              <c:strCache>
                <c:ptCount val="1"/>
                <c:pt idx="0">
                  <c:v>High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val>
            <c:numRef>
              <c:f>'stocks project'!$F$207:$F$269</c:f>
              <c:numCache>
                <c:formatCode>#,##0.0</c:formatCode>
                <c:ptCount val="63"/>
                <c:pt idx="1">
                  <c:v>108.669998168945</c:v>
                </c:pt>
                <c:pt idx="2">
                  <c:v>103.58000183105401</c:v>
                </c:pt>
                <c:pt idx="3">
                  <c:v>100.61000061035099</c:v>
                </c:pt>
                <c:pt idx="4">
                  <c:v>97.019996643066406</c:v>
                </c:pt>
                <c:pt idx="5">
                  <c:v>95.349998474121094</c:v>
                </c:pt>
                <c:pt idx="6">
                  <c:v>95.175003051757798</c:v>
                </c:pt>
                <c:pt idx="7">
                  <c:v>97.339996337890597</c:v>
                </c:pt>
                <c:pt idx="8">
                  <c:v>97.879997253417898</c:v>
                </c:pt>
                <c:pt idx="9">
                  <c:v>95.75</c:v>
                </c:pt>
                <c:pt idx="10">
                  <c:v>93.415000915527301</c:v>
                </c:pt>
                <c:pt idx="11">
                  <c:v>92.360000610351506</c:v>
                </c:pt>
                <c:pt idx="12">
                  <c:v>92.129997253417898</c:v>
                </c:pt>
                <c:pt idx="13">
                  <c:v>90.129997253417898</c:v>
                </c:pt>
                <c:pt idx="14">
                  <c:v>90.449996948242102</c:v>
                </c:pt>
                <c:pt idx="15">
                  <c:v>91.449996948242102</c:v>
                </c:pt>
                <c:pt idx="16">
                  <c:v>91.199996948242102</c:v>
                </c:pt>
                <c:pt idx="17">
                  <c:v>92.480003356933594</c:v>
                </c:pt>
                <c:pt idx="18">
                  <c:v>94.110000610351506</c:v>
                </c:pt>
                <c:pt idx="19">
                  <c:v>96.300003051757798</c:v>
                </c:pt>
                <c:pt idx="20">
                  <c:v>96.089996337890597</c:v>
                </c:pt>
                <c:pt idx="21">
                  <c:v>96.239997863769503</c:v>
                </c:pt>
                <c:pt idx="22">
                  <c:v>95.919998168945298</c:v>
                </c:pt>
                <c:pt idx="23">
                  <c:v>93.180000305175696</c:v>
                </c:pt>
                <c:pt idx="24">
                  <c:v>93.080001831054602</c:v>
                </c:pt>
                <c:pt idx="25">
                  <c:v>94.830001831054602</c:v>
                </c:pt>
                <c:pt idx="26">
                  <c:v>97.25</c:v>
                </c:pt>
                <c:pt idx="27">
                  <c:v>101.970001220703</c:v>
                </c:pt>
                <c:pt idx="28">
                  <c:v>103.48999786376901</c:v>
                </c:pt>
                <c:pt idx="29">
                  <c:v>102.58000183105401</c:v>
                </c:pt>
                <c:pt idx="30">
                  <c:v>105.959999084472</c:v>
                </c:pt>
                <c:pt idx="31">
                  <c:v>107.51000213623</c:v>
                </c:pt>
                <c:pt idx="32">
                  <c:v>107.10099792480401</c:v>
                </c:pt>
                <c:pt idx="33">
                  <c:v>106.16000366210901</c:v>
                </c:pt>
                <c:pt idx="34">
                  <c:v>105.400001525878</c:v>
                </c:pt>
                <c:pt idx="35">
                  <c:v>103</c:v>
                </c:pt>
                <c:pt idx="36">
                  <c:v>102.81999969482401</c:v>
                </c:pt>
                <c:pt idx="37">
                  <c:v>101.61000061035099</c:v>
                </c:pt>
                <c:pt idx="38">
                  <c:v>104.19000244140599</c:v>
                </c:pt>
                <c:pt idx="39">
                  <c:v>104.949996948242</c:v>
                </c:pt>
                <c:pt idx="40">
                  <c:v>106.09999847412099</c:v>
                </c:pt>
                <c:pt idx="41">
                  <c:v>106.540000915527</c:v>
                </c:pt>
                <c:pt idx="42">
                  <c:v>109.629997253417</c:v>
                </c:pt>
                <c:pt idx="43">
                  <c:v>107.970001220703</c:v>
                </c:pt>
                <c:pt idx="44">
                  <c:v>107.220001220703</c:v>
                </c:pt>
                <c:pt idx="45">
                  <c:v>107.58699798583901</c:v>
                </c:pt>
                <c:pt idx="46">
                  <c:v>108.264999389648</c:v>
                </c:pt>
                <c:pt idx="47">
                  <c:v>109.58000183105401</c:v>
                </c:pt>
                <c:pt idx="48">
                  <c:v>106.709999084472</c:v>
                </c:pt>
                <c:pt idx="49">
                  <c:v>107.050003051757</c:v>
                </c:pt>
                <c:pt idx="50">
                  <c:v>105.72499847412099</c:v>
                </c:pt>
                <c:pt idx="51">
                  <c:v>106.88800048828099</c:v>
                </c:pt>
                <c:pt idx="52">
                  <c:v>106.639999389648</c:v>
                </c:pt>
                <c:pt idx="53">
                  <c:v>107.31999969482401</c:v>
                </c:pt>
                <c:pt idx="54">
                  <c:v>107.44000244140599</c:v>
                </c:pt>
                <c:pt idx="55">
                  <c:v>107.01999664306599</c:v>
                </c:pt>
                <c:pt idx="56">
                  <c:v>109.150001525878</c:v>
                </c:pt>
                <c:pt idx="57">
                  <c:v>108.290000915527</c:v>
                </c:pt>
                <c:pt idx="58">
                  <c:v>108.680000305175</c:v>
                </c:pt>
                <c:pt idx="59">
                  <c:v>107.730003356933</c:v>
                </c:pt>
                <c:pt idx="60">
                  <c:v>108.129997253417</c:v>
                </c:pt>
                <c:pt idx="61">
                  <c:v>106.300003051757</c:v>
                </c:pt>
                <c:pt idx="62">
                  <c:v>106.44000244140599</c:v>
                </c:pt>
              </c:numCache>
            </c:numRef>
          </c:val>
        </c:ser>
        <c:ser>
          <c:idx val="2"/>
          <c:order val="2"/>
          <c:tx>
            <c:strRef>
              <c:f>'stocks project'!$G$206</c:f>
              <c:strCache>
                <c:ptCount val="1"/>
                <c:pt idx="0">
                  <c:v>Low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val>
            <c:numRef>
              <c:f>'stocks project'!$G$207:$G$269</c:f>
              <c:numCache>
                <c:formatCode>#,##0.0</c:formatCode>
                <c:ptCount val="63"/>
                <c:pt idx="1">
                  <c:v>103.54799652099599</c:v>
                </c:pt>
                <c:pt idx="2">
                  <c:v>98.455001831054602</c:v>
                </c:pt>
                <c:pt idx="3">
                  <c:v>93.860000610351506</c:v>
                </c:pt>
                <c:pt idx="4">
                  <c:v>94.529998779296804</c:v>
                </c:pt>
                <c:pt idx="5">
                  <c:v>94.050003051757798</c:v>
                </c:pt>
                <c:pt idx="6">
                  <c:v>92.650001525878906</c:v>
                </c:pt>
                <c:pt idx="7">
                  <c:v>94.360000610351506</c:v>
                </c:pt>
                <c:pt idx="8">
                  <c:v>94.970001220703097</c:v>
                </c:pt>
                <c:pt idx="9">
                  <c:v>93.449996948242102</c:v>
                </c:pt>
                <c:pt idx="10">
                  <c:v>92</c:v>
                </c:pt>
                <c:pt idx="11">
                  <c:v>90.870002746582003</c:v>
                </c:pt>
                <c:pt idx="12">
                  <c:v>90.010002136230398</c:v>
                </c:pt>
                <c:pt idx="13">
                  <c:v>88.860000610351506</c:v>
                </c:pt>
                <c:pt idx="14">
                  <c:v>89.610000610351506</c:v>
                </c:pt>
                <c:pt idx="15">
                  <c:v>89.519996643066406</c:v>
                </c:pt>
                <c:pt idx="16">
                  <c:v>89.849998474121094</c:v>
                </c:pt>
                <c:pt idx="17">
                  <c:v>89.769996643066406</c:v>
                </c:pt>
                <c:pt idx="18">
                  <c:v>92.660003662109304</c:v>
                </c:pt>
                <c:pt idx="19">
                  <c:v>94.300003051757798</c:v>
                </c:pt>
                <c:pt idx="20">
                  <c:v>93.844001770019503</c:v>
                </c:pt>
                <c:pt idx="21">
                  <c:v>94.404998779296804</c:v>
                </c:pt>
                <c:pt idx="22">
                  <c:v>92.355003356933594</c:v>
                </c:pt>
                <c:pt idx="23">
                  <c:v>90.800003051757798</c:v>
                </c:pt>
                <c:pt idx="24">
                  <c:v>89.940002441406193</c:v>
                </c:pt>
                <c:pt idx="25">
                  <c:v>92.779998779296804</c:v>
                </c:pt>
                <c:pt idx="26">
                  <c:v>93.040000915527301</c:v>
                </c:pt>
                <c:pt idx="27">
                  <c:v>95.870002746582003</c:v>
                </c:pt>
                <c:pt idx="28">
                  <c:v>100.75</c:v>
                </c:pt>
                <c:pt idx="29">
                  <c:v>100.790000915527</c:v>
                </c:pt>
                <c:pt idx="30">
                  <c:v>101.86000061035099</c:v>
                </c:pt>
                <c:pt idx="31">
                  <c:v>104.209999084472</c:v>
                </c:pt>
                <c:pt idx="32">
                  <c:v>105.41000366210901</c:v>
                </c:pt>
                <c:pt idx="33">
                  <c:v>104.73999786376901</c:v>
                </c:pt>
                <c:pt idx="34">
                  <c:v>102.629997253417</c:v>
                </c:pt>
                <c:pt idx="35">
                  <c:v>100.27999877929599</c:v>
                </c:pt>
                <c:pt idx="36">
                  <c:v>101.02999877929599</c:v>
                </c:pt>
                <c:pt idx="37">
                  <c:v>100.290000915527</c:v>
                </c:pt>
                <c:pt idx="38">
                  <c:v>101.44000244140599</c:v>
                </c:pt>
                <c:pt idx="39">
                  <c:v>102.379997253417</c:v>
                </c:pt>
                <c:pt idx="40">
                  <c:v>104.59999847412099</c:v>
                </c:pt>
                <c:pt idx="41">
                  <c:v>104.101997375488</c:v>
                </c:pt>
                <c:pt idx="42">
                  <c:v>104.81500244140599</c:v>
                </c:pt>
                <c:pt idx="43">
                  <c:v>105.59999847412099</c:v>
                </c:pt>
                <c:pt idx="44">
                  <c:v>105.27999877929599</c:v>
                </c:pt>
                <c:pt idx="45">
                  <c:v>104.970001220703</c:v>
                </c:pt>
                <c:pt idx="46">
                  <c:v>106.44000244140599</c:v>
                </c:pt>
                <c:pt idx="47">
                  <c:v>107.58999633789</c:v>
                </c:pt>
                <c:pt idx="48">
                  <c:v>105.31999969482401</c:v>
                </c:pt>
                <c:pt idx="49">
                  <c:v>104.77999877929599</c:v>
                </c:pt>
                <c:pt idx="50">
                  <c:v>103.800003051757</c:v>
                </c:pt>
                <c:pt idx="51">
                  <c:v>104.639999389648</c:v>
                </c:pt>
                <c:pt idx="52">
                  <c:v>105.48500061035099</c:v>
                </c:pt>
                <c:pt idx="53">
                  <c:v>105.36000061035099</c:v>
                </c:pt>
                <c:pt idx="54">
                  <c:v>104.559997558593</c:v>
                </c:pt>
                <c:pt idx="55">
                  <c:v>103.26999664306599</c:v>
                </c:pt>
                <c:pt idx="56">
                  <c:v>104.419998168945</c:v>
                </c:pt>
                <c:pt idx="57">
                  <c:v>106.040000915527</c:v>
                </c:pt>
                <c:pt idx="58">
                  <c:v>107.5</c:v>
                </c:pt>
                <c:pt idx="59">
                  <c:v>104.5</c:v>
                </c:pt>
                <c:pt idx="60">
                  <c:v>105.620002746582</c:v>
                </c:pt>
                <c:pt idx="61">
                  <c:v>104.699996948242</c:v>
                </c:pt>
                <c:pt idx="62">
                  <c:v>104.738998413085</c:v>
                </c:pt>
              </c:numCache>
            </c:numRef>
          </c:val>
        </c:ser>
        <c:ser>
          <c:idx val="3"/>
          <c:order val="3"/>
          <c:tx>
            <c:strRef>
              <c:f>'stocks project'!$H$206</c:f>
              <c:strCache>
                <c:ptCount val="1"/>
                <c:pt idx="0">
                  <c:v>Close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val>
            <c:numRef>
              <c:f>'stocks project'!$H$207:$H$269</c:f>
              <c:numCache>
                <c:formatCode>#,##0.0</c:formatCode>
                <c:ptCount val="63"/>
                <c:pt idx="1">
                  <c:v>108.040000915527</c:v>
                </c:pt>
                <c:pt idx="2">
                  <c:v>100</c:v>
                </c:pt>
                <c:pt idx="3">
                  <c:v>95.459999084472599</c:v>
                </c:pt>
                <c:pt idx="4">
                  <c:v>94.860000610351506</c:v>
                </c:pt>
                <c:pt idx="5">
                  <c:v>95</c:v>
                </c:pt>
                <c:pt idx="6">
                  <c:v>94.949996948242102</c:v>
                </c:pt>
                <c:pt idx="7">
                  <c:v>97.099998474121094</c:v>
                </c:pt>
                <c:pt idx="8">
                  <c:v>95.779998779296804</c:v>
                </c:pt>
                <c:pt idx="9">
                  <c:v>94.589996337890597</c:v>
                </c:pt>
                <c:pt idx="10">
                  <c:v>92.050003051757798</c:v>
                </c:pt>
                <c:pt idx="11">
                  <c:v>91.800003051757798</c:v>
                </c:pt>
                <c:pt idx="12">
                  <c:v>91.069999694824205</c:v>
                </c:pt>
                <c:pt idx="13">
                  <c:v>89.349998474121094</c:v>
                </c:pt>
                <c:pt idx="14">
                  <c:v>90.099998474121094</c:v>
                </c:pt>
                <c:pt idx="15">
                  <c:v>90.300003051757798</c:v>
                </c:pt>
                <c:pt idx="16">
                  <c:v>90.510002136230398</c:v>
                </c:pt>
                <c:pt idx="17">
                  <c:v>92.309997558593693</c:v>
                </c:pt>
                <c:pt idx="18">
                  <c:v>94.019996643066406</c:v>
                </c:pt>
                <c:pt idx="19">
                  <c:v>95.580001831054602</c:v>
                </c:pt>
                <c:pt idx="20">
                  <c:v>94.169998168945298</c:v>
                </c:pt>
                <c:pt idx="21">
                  <c:v>94.650001525878906</c:v>
                </c:pt>
                <c:pt idx="22">
                  <c:v>92.660003662109304</c:v>
                </c:pt>
                <c:pt idx="23">
                  <c:v>91.010002136230398</c:v>
                </c:pt>
                <c:pt idx="24">
                  <c:v>91.660003662109304</c:v>
                </c:pt>
                <c:pt idx="25">
                  <c:v>94.25</c:v>
                </c:pt>
                <c:pt idx="26">
                  <c:v>96.550003051757798</c:v>
                </c:pt>
                <c:pt idx="27">
                  <c:v>101.06999969482401</c:v>
                </c:pt>
                <c:pt idx="28">
                  <c:v>102.459999084472</c:v>
                </c:pt>
                <c:pt idx="29">
                  <c:v>101.930000305175</c:v>
                </c:pt>
                <c:pt idx="30">
                  <c:v>105.83999633789</c:v>
                </c:pt>
                <c:pt idx="31">
                  <c:v>104.220001220703</c:v>
                </c:pt>
                <c:pt idx="32">
                  <c:v>106.26000213623</c:v>
                </c:pt>
                <c:pt idx="33">
                  <c:v>106.059997558593</c:v>
                </c:pt>
                <c:pt idx="34">
                  <c:v>103.059997558593</c:v>
                </c:pt>
                <c:pt idx="35">
                  <c:v>101.36000061035099</c:v>
                </c:pt>
                <c:pt idx="36">
                  <c:v>101.900001525878</c:v>
                </c:pt>
                <c:pt idx="37">
                  <c:v>101.31999969482401</c:v>
                </c:pt>
                <c:pt idx="38">
                  <c:v>104</c:v>
                </c:pt>
                <c:pt idx="39">
                  <c:v>104.91000366210901</c:v>
                </c:pt>
                <c:pt idx="40">
                  <c:v>105.120002746582</c:v>
                </c:pt>
                <c:pt idx="41">
                  <c:v>104.949996948242</c:v>
                </c:pt>
                <c:pt idx="42">
                  <c:v>108.900001525878</c:v>
                </c:pt>
                <c:pt idx="43">
                  <c:v>106.949996948242</c:v>
                </c:pt>
                <c:pt idx="44">
                  <c:v>106.120002746582</c:v>
                </c:pt>
                <c:pt idx="45">
                  <c:v>105.220001220703</c:v>
                </c:pt>
                <c:pt idx="46">
                  <c:v>108.19000244140599</c:v>
                </c:pt>
                <c:pt idx="47">
                  <c:v>109.459999084472</c:v>
                </c:pt>
                <c:pt idx="48">
                  <c:v>106.419998168945</c:v>
                </c:pt>
                <c:pt idx="49">
                  <c:v>105.120002746582</c:v>
                </c:pt>
                <c:pt idx="50">
                  <c:v>105.01999664306599</c:v>
                </c:pt>
                <c:pt idx="51">
                  <c:v>105.900001525878</c:v>
                </c:pt>
                <c:pt idx="52">
                  <c:v>105.91000366210901</c:v>
                </c:pt>
                <c:pt idx="53">
                  <c:v>106.77999877929599</c:v>
                </c:pt>
                <c:pt idx="54">
                  <c:v>104.61000061035099</c:v>
                </c:pt>
                <c:pt idx="55">
                  <c:v>104.449996948242</c:v>
                </c:pt>
                <c:pt idx="56">
                  <c:v>108.370002746582</c:v>
                </c:pt>
                <c:pt idx="57">
                  <c:v>108.220001220703</c:v>
                </c:pt>
                <c:pt idx="58">
                  <c:v>107.709999084472</c:v>
                </c:pt>
                <c:pt idx="59">
                  <c:v>105.980003356933</c:v>
                </c:pt>
                <c:pt idx="60">
                  <c:v>106.120002746582</c:v>
                </c:pt>
                <c:pt idx="61">
                  <c:v>105.209999084472</c:v>
                </c:pt>
                <c:pt idx="62">
                  <c:v>106.21499633789</c:v>
                </c:pt>
              </c:numCache>
            </c:numRef>
          </c:val>
        </c:ser>
        <c:ser>
          <c:idx val="4"/>
          <c:order val="4"/>
          <c:tx>
            <c:strRef>
              <c:f>'stocks project'!$I$206</c:f>
              <c:strCache>
                <c:ptCount val="1"/>
                <c:pt idx="0">
                  <c:v>Adj Close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val>
            <c:numRef>
              <c:f>'stocks project'!$I$207:$I$269</c:f>
              <c:numCache>
                <c:formatCode>#,##0.0</c:formatCode>
                <c:ptCount val="63"/>
                <c:pt idx="1">
                  <c:v>108.040000915527</c:v>
                </c:pt>
                <c:pt idx="2">
                  <c:v>100</c:v>
                </c:pt>
                <c:pt idx="3">
                  <c:v>95.459999084472599</c:v>
                </c:pt>
                <c:pt idx="4">
                  <c:v>94.860000610351506</c:v>
                </c:pt>
                <c:pt idx="5">
                  <c:v>95</c:v>
                </c:pt>
                <c:pt idx="6">
                  <c:v>94.949996948242102</c:v>
                </c:pt>
                <c:pt idx="7">
                  <c:v>97.099998474121094</c:v>
                </c:pt>
                <c:pt idx="8">
                  <c:v>95.779998779296804</c:v>
                </c:pt>
                <c:pt idx="9">
                  <c:v>94.589996337890597</c:v>
                </c:pt>
                <c:pt idx="10">
                  <c:v>92.050003051757798</c:v>
                </c:pt>
                <c:pt idx="11">
                  <c:v>91.800003051757798</c:v>
                </c:pt>
                <c:pt idx="12">
                  <c:v>91.069999694824205</c:v>
                </c:pt>
                <c:pt idx="13">
                  <c:v>89.349998474121094</c:v>
                </c:pt>
                <c:pt idx="14">
                  <c:v>90.099998474121094</c:v>
                </c:pt>
                <c:pt idx="15">
                  <c:v>90.300003051757798</c:v>
                </c:pt>
                <c:pt idx="16">
                  <c:v>90.510002136230398</c:v>
                </c:pt>
                <c:pt idx="17">
                  <c:v>92.309997558593693</c:v>
                </c:pt>
                <c:pt idx="18">
                  <c:v>94.019996643066406</c:v>
                </c:pt>
                <c:pt idx="19">
                  <c:v>95.580001831054602</c:v>
                </c:pt>
                <c:pt idx="20">
                  <c:v>94.169998168945298</c:v>
                </c:pt>
                <c:pt idx="21">
                  <c:v>94.650001525878906</c:v>
                </c:pt>
                <c:pt idx="22">
                  <c:v>92.660003662109304</c:v>
                </c:pt>
                <c:pt idx="23">
                  <c:v>91.010002136230398</c:v>
                </c:pt>
                <c:pt idx="24">
                  <c:v>91.660003662109304</c:v>
                </c:pt>
                <c:pt idx="25">
                  <c:v>94.25</c:v>
                </c:pt>
                <c:pt idx="26">
                  <c:v>96.550003051757798</c:v>
                </c:pt>
                <c:pt idx="27">
                  <c:v>101.06999969482401</c:v>
                </c:pt>
                <c:pt idx="28">
                  <c:v>102.459999084472</c:v>
                </c:pt>
                <c:pt idx="29">
                  <c:v>101.930000305175</c:v>
                </c:pt>
                <c:pt idx="30">
                  <c:v>105.83999633789</c:v>
                </c:pt>
                <c:pt idx="31">
                  <c:v>104.220001220703</c:v>
                </c:pt>
                <c:pt idx="32">
                  <c:v>106.26000213623</c:v>
                </c:pt>
                <c:pt idx="33">
                  <c:v>106.059997558593</c:v>
                </c:pt>
                <c:pt idx="34">
                  <c:v>103.059997558593</c:v>
                </c:pt>
                <c:pt idx="35">
                  <c:v>101.36000061035099</c:v>
                </c:pt>
                <c:pt idx="36">
                  <c:v>101.900001525878</c:v>
                </c:pt>
                <c:pt idx="37">
                  <c:v>101.31999969482401</c:v>
                </c:pt>
                <c:pt idx="38">
                  <c:v>104</c:v>
                </c:pt>
                <c:pt idx="39">
                  <c:v>104.91000366210901</c:v>
                </c:pt>
                <c:pt idx="40">
                  <c:v>105.120002746582</c:v>
                </c:pt>
                <c:pt idx="41">
                  <c:v>104.949996948242</c:v>
                </c:pt>
                <c:pt idx="42">
                  <c:v>108.900001525878</c:v>
                </c:pt>
                <c:pt idx="43">
                  <c:v>106.949996948242</c:v>
                </c:pt>
                <c:pt idx="44">
                  <c:v>106.120002746582</c:v>
                </c:pt>
                <c:pt idx="45">
                  <c:v>105.220001220703</c:v>
                </c:pt>
                <c:pt idx="46">
                  <c:v>108.19000244140599</c:v>
                </c:pt>
                <c:pt idx="47">
                  <c:v>109.459999084472</c:v>
                </c:pt>
                <c:pt idx="48">
                  <c:v>106.419998168945</c:v>
                </c:pt>
                <c:pt idx="49">
                  <c:v>105.120002746582</c:v>
                </c:pt>
                <c:pt idx="50">
                  <c:v>105.01999664306599</c:v>
                </c:pt>
                <c:pt idx="51">
                  <c:v>105.900001525878</c:v>
                </c:pt>
                <c:pt idx="52">
                  <c:v>105.91000366210901</c:v>
                </c:pt>
                <c:pt idx="53">
                  <c:v>106.77999877929599</c:v>
                </c:pt>
                <c:pt idx="54">
                  <c:v>104.61000061035099</c:v>
                </c:pt>
                <c:pt idx="55">
                  <c:v>104.449996948242</c:v>
                </c:pt>
                <c:pt idx="56">
                  <c:v>108.370002746582</c:v>
                </c:pt>
                <c:pt idx="57">
                  <c:v>108.220001220703</c:v>
                </c:pt>
                <c:pt idx="58">
                  <c:v>107.709999084472</c:v>
                </c:pt>
                <c:pt idx="59">
                  <c:v>105.980003356933</c:v>
                </c:pt>
                <c:pt idx="60">
                  <c:v>106.120002746582</c:v>
                </c:pt>
                <c:pt idx="61">
                  <c:v>105.209999084472</c:v>
                </c:pt>
                <c:pt idx="62">
                  <c:v>106.21499633789</c:v>
                </c:pt>
              </c:numCache>
            </c:numRef>
          </c:val>
        </c:ser>
        <c:hiLowLines/>
        <c:upDownBars>
          <c:gapWidth val="150"/>
          <c:upBars/>
          <c:downBars/>
        </c:upDownBars>
        <c:axId val="99870592"/>
        <c:axId val="99869056"/>
      </c:stockChart>
      <c:catAx>
        <c:axId val="95214592"/>
        <c:scaling>
          <c:orientation val="minMax"/>
        </c:scaling>
        <c:axPos val="b"/>
        <c:majorTickMark val="none"/>
        <c:tickLblPos val="nextTo"/>
        <c:crossAx val="99732096"/>
        <c:crosses val="autoZero"/>
        <c:auto val="1"/>
        <c:lblAlgn val="ctr"/>
        <c:lblOffset val="100"/>
      </c:catAx>
      <c:valAx>
        <c:axId val="99732096"/>
        <c:scaling>
          <c:orientation val="minMax"/>
        </c:scaling>
        <c:axPos val="l"/>
        <c:numFmt formatCode="General" sourceLinked="1"/>
        <c:majorTickMark val="none"/>
        <c:tickLblPos val="nextTo"/>
        <c:crossAx val="95214592"/>
        <c:crosses val="autoZero"/>
        <c:crossBetween val="between"/>
      </c:valAx>
      <c:valAx>
        <c:axId val="99869056"/>
        <c:scaling>
          <c:orientation val="minMax"/>
        </c:scaling>
        <c:axPos val="r"/>
        <c:numFmt formatCode="General" sourceLinked="1"/>
        <c:tickLblPos val="nextTo"/>
        <c:crossAx val="99870592"/>
        <c:crosses val="max"/>
        <c:crossBetween val="between"/>
      </c:valAx>
      <c:catAx>
        <c:axId val="99870592"/>
        <c:scaling>
          <c:orientation val="minMax"/>
        </c:scaling>
        <c:delete val="1"/>
        <c:axPos val="b"/>
        <c:tickLblPos val="nextTo"/>
        <c:crossAx val="99869056"/>
        <c:crosses val="autoZero"/>
        <c:auto val="1"/>
        <c:lblAlgn val="ctr"/>
        <c:lblOffset val="100"/>
      </c:catAx>
    </c:plotArea>
    <c:plotVisOnly val="1"/>
    <c:dispBlanksAs val="gap"/>
  </c:chart>
  <c:spPr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8</xdr:row>
      <xdr:rowOff>171450</xdr:rowOff>
    </xdr:from>
    <xdr:to>
      <xdr:col>17</xdr:col>
      <xdr:colOff>333375</xdr:colOff>
      <xdr:row>23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9525</xdr:colOff>
      <xdr:row>75</xdr:row>
      <xdr:rowOff>19050</xdr:rowOff>
    </xdr:from>
    <xdr:to>
      <xdr:col>17</xdr:col>
      <xdr:colOff>342900</xdr:colOff>
      <xdr:row>89</xdr:row>
      <xdr:rowOff>95250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676275</xdr:colOff>
      <xdr:row>140</xdr:row>
      <xdr:rowOff>171450</xdr:rowOff>
    </xdr:from>
    <xdr:to>
      <xdr:col>17</xdr:col>
      <xdr:colOff>295275</xdr:colOff>
      <xdr:row>155</xdr:row>
      <xdr:rowOff>57150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19050</xdr:colOff>
      <xdr:row>206</xdr:row>
      <xdr:rowOff>161925</xdr:rowOff>
    </xdr:from>
    <xdr:to>
      <xdr:col>17</xdr:col>
      <xdr:colOff>352425</xdr:colOff>
      <xdr:row>221</xdr:row>
      <xdr:rowOff>47625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247650</xdr:colOff>
      <xdr:row>6</xdr:row>
      <xdr:rowOff>19050</xdr:rowOff>
    </xdr:from>
    <xdr:to>
      <xdr:col>38</xdr:col>
      <xdr:colOff>9525</xdr:colOff>
      <xdr:row>14</xdr:row>
      <xdr:rowOff>152400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638175</xdr:colOff>
      <xdr:row>29</xdr:row>
      <xdr:rowOff>161925</xdr:rowOff>
    </xdr:from>
    <xdr:to>
      <xdr:col>17</xdr:col>
      <xdr:colOff>257175</xdr:colOff>
      <xdr:row>44</xdr:row>
      <xdr:rowOff>47625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561975</xdr:colOff>
      <xdr:row>94</xdr:row>
      <xdr:rowOff>47625</xdr:rowOff>
    </xdr:from>
    <xdr:to>
      <xdr:col>17</xdr:col>
      <xdr:colOff>180975</xdr:colOff>
      <xdr:row>108</xdr:row>
      <xdr:rowOff>123825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0</xdr:colOff>
      <xdr:row>162</xdr:row>
      <xdr:rowOff>0</xdr:rowOff>
    </xdr:from>
    <xdr:to>
      <xdr:col>17</xdr:col>
      <xdr:colOff>333375</xdr:colOff>
      <xdr:row>176</xdr:row>
      <xdr:rowOff>76200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561975</xdr:colOff>
      <xdr:row>226</xdr:row>
      <xdr:rowOff>171450</xdr:rowOff>
    </xdr:from>
    <xdr:to>
      <xdr:col>17</xdr:col>
      <xdr:colOff>180975</xdr:colOff>
      <xdr:row>241</xdr:row>
      <xdr:rowOff>57150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114300</xdr:colOff>
      <xdr:row>51</xdr:row>
      <xdr:rowOff>66675</xdr:rowOff>
    </xdr:from>
    <xdr:to>
      <xdr:col>17</xdr:col>
      <xdr:colOff>447675</xdr:colOff>
      <xdr:row>65</xdr:row>
      <xdr:rowOff>142875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115</xdr:row>
      <xdr:rowOff>0</xdr:rowOff>
    </xdr:from>
    <xdr:to>
      <xdr:col>17</xdr:col>
      <xdr:colOff>333375</xdr:colOff>
      <xdr:row>129</xdr:row>
      <xdr:rowOff>76200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371475</xdr:colOff>
      <xdr:row>184</xdr:row>
      <xdr:rowOff>47625</xdr:rowOff>
    </xdr:from>
    <xdr:to>
      <xdr:col>17</xdr:col>
      <xdr:colOff>704850</xdr:colOff>
      <xdr:row>198</xdr:row>
      <xdr:rowOff>123825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76200</xdr:colOff>
      <xdr:row>247</xdr:row>
      <xdr:rowOff>142875</xdr:rowOff>
    </xdr:from>
    <xdr:to>
      <xdr:col>17</xdr:col>
      <xdr:colOff>409575</xdr:colOff>
      <xdr:row>262</xdr:row>
      <xdr:rowOff>28575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H269"/>
  <sheetViews>
    <sheetView showGridLines="0" tabSelected="1" workbookViewId="0">
      <selection activeCell="M266" sqref="M266"/>
    </sheetView>
  </sheetViews>
  <sheetFormatPr defaultColWidth="12.7109375" defaultRowHeight="15"/>
  <cols>
    <col min="1" max="1" width="4.140625" customWidth="1"/>
    <col min="2" max="2" width="11.42578125" customWidth="1"/>
    <col min="3" max="3" width="7.140625" customWidth="1"/>
    <col min="4" max="4" width="10.85546875" customWidth="1"/>
    <col min="5" max="5" width="7.140625" customWidth="1"/>
    <col min="6" max="6" width="7.7109375" customWidth="1"/>
    <col min="7" max="7" width="7.140625" customWidth="1"/>
    <col min="8" max="8" width="7.28515625" customWidth="1"/>
    <col min="9" max="9" width="9.42578125" customWidth="1"/>
    <col min="11" max="11" width="12" customWidth="1"/>
    <col min="12" max="12" width="10.7109375" customWidth="1"/>
    <col min="19" max="19" width="12.7109375" style="6"/>
    <col min="20" max="20" width="12.7109375" customWidth="1"/>
    <col min="24" max="24" width="4.140625" customWidth="1"/>
    <col min="25" max="25" width="2.85546875" customWidth="1"/>
    <col min="31" max="31" width="6.7109375" customWidth="1"/>
    <col min="33" max="33" width="7.85546875" customWidth="1"/>
    <col min="34" max="34" width="14.5703125" customWidth="1"/>
  </cols>
  <sheetData>
    <row r="2" spans="2:34"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2:34" ht="10.5" customHeight="1">
      <c r="B3" s="13"/>
      <c r="C3" s="13"/>
      <c r="D3" s="36" t="s">
        <v>34</v>
      </c>
      <c r="E3" s="36"/>
      <c r="F3" s="36"/>
      <c r="G3" s="36"/>
      <c r="H3" s="36"/>
      <c r="I3" s="36"/>
      <c r="J3" s="13"/>
      <c r="K3" s="13"/>
    </row>
    <row r="4" spans="2:34" ht="15" customHeight="1">
      <c r="B4" s="13"/>
      <c r="C4" s="13"/>
      <c r="D4" s="36"/>
      <c r="E4" s="36"/>
      <c r="F4" s="36"/>
      <c r="G4" s="36"/>
      <c r="H4" s="36"/>
      <c r="I4" s="36"/>
      <c r="J4" s="13"/>
      <c r="K4" s="13"/>
      <c r="S4" s="51" t="s">
        <v>35</v>
      </c>
      <c r="T4" s="51"/>
      <c r="U4" s="51"/>
      <c r="V4" s="51"/>
      <c r="W4" s="51"/>
    </row>
    <row r="5" spans="2:34" ht="15" customHeight="1">
      <c r="B5" s="33"/>
      <c r="C5" s="33"/>
      <c r="D5" s="35"/>
      <c r="E5" s="35"/>
      <c r="F5" s="35"/>
      <c r="G5" s="35"/>
      <c r="H5" s="35"/>
      <c r="I5" s="35"/>
      <c r="J5" s="33"/>
      <c r="K5" s="33"/>
      <c r="S5" s="51"/>
      <c r="T5" s="51"/>
      <c r="U5" s="51"/>
      <c r="V5" s="51"/>
      <c r="W5" s="51"/>
    </row>
    <row r="6" spans="2:34" s="9" customFormat="1" ht="15" customHeight="1" thickBot="1">
      <c r="D6" s="41"/>
      <c r="E6" s="41"/>
      <c r="F6" s="41"/>
      <c r="G6" s="41"/>
      <c r="H6" s="41"/>
      <c r="I6" s="41"/>
      <c r="S6" s="17"/>
    </row>
    <row r="7" spans="2:34" ht="14.25" customHeight="1">
      <c r="B7" s="43"/>
      <c r="C7" s="43"/>
      <c r="D7" s="43"/>
      <c r="E7" s="44" t="s">
        <v>36</v>
      </c>
      <c r="F7" s="44"/>
      <c r="G7" s="43"/>
      <c r="H7" s="43"/>
      <c r="I7" s="43"/>
      <c r="J7" s="43"/>
      <c r="K7" s="43"/>
      <c r="L7" s="8"/>
      <c r="S7" s="12"/>
      <c r="T7" s="4" t="s">
        <v>8</v>
      </c>
      <c r="U7" s="4" t="s">
        <v>22</v>
      </c>
      <c r="V7" s="4" t="s">
        <v>9</v>
      </c>
      <c r="W7" s="4" t="s">
        <v>11</v>
      </c>
      <c r="AF7" s="34" t="s">
        <v>27</v>
      </c>
      <c r="AG7" s="34"/>
      <c r="AH7" s="34"/>
    </row>
    <row r="8" spans="2:34">
      <c r="B8" s="4" t="s">
        <v>14</v>
      </c>
      <c r="C8" s="5" t="s">
        <v>0</v>
      </c>
      <c r="D8" s="5" t="s">
        <v>1</v>
      </c>
      <c r="E8" s="5" t="s">
        <v>2</v>
      </c>
      <c r="F8" s="5" t="s">
        <v>3</v>
      </c>
      <c r="G8" s="5" t="s">
        <v>4</v>
      </c>
      <c r="H8" s="5" t="s">
        <v>5</v>
      </c>
      <c r="I8" s="5" t="s">
        <v>6</v>
      </c>
      <c r="J8" s="5" t="s">
        <v>7</v>
      </c>
      <c r="K8" s="5" t="s">
        <v>12</v>
      </c>
      <c r="N8" s="30" t="s">
        <v>18</v>
      </c>
      <c r="O8" s="30"/>
      <c r="P8" s="30"/>
      <c r="S8" s="14" t="s">
        <v>1</v>
      </c>
      <c r="T8" s="15" t="s">
        <v>23</v>
      </c>
      <c r="U8" s="15" t="str">
        <f>T8</f>
        <v>Adj. close</v>
      </c>
      <c r="V8" s="15" t="str">
        <f>T8</f>
        <v>Adj. close</v>
      </c>
      <c r="W8" s="15" t="str">
        <f>U8</f>
        <v>Adj. close</v>
      </c>
      <c r="Z8" s="13"/>
      <c r="AA8" s="31" t="s">
        <v>26</v>
      </c>
      <c r="AB8" s="31"/>
      <c r="AC8" s="31"/>
      <c r="AD8" s="13"/>
    </row>
    <row r="9" spans="2:34" ht="15.75" thickBot="1">
      <c r="C9" s="3"/>
      <c r="AF9" s="15" t="s">
        <v>28</v>
      </c>
      <c r="AG9" s="15"/>
      <c r="AH9" s="15" t="s">
        <v>29</v>
      </c>
    </row>
    <row r="10" spans="2:34">
      <c r="B10" t="s">
        <v>13</v>
      </c>
      <c r="C10" s="3" t="s">
        <v>8</v>
      </c>
      <c r="D10" s="1">
        <v>44964</v>
      </c>
      <c r="E10" s="2">
        <v>150.63999938964801</v>
      </c>
      <c r="F10" s="2">
        <v>155.22999572753901</v>
      </c>
      <c r="G10" s="2">
        <v>150.63999938964801</v>
      </c>
      <c r="H10" s="2">
        <v>154.64999389648401</v>
      </c>
      <c r="I10" s="2">
        <v>154.41423034667901</v>
      </c>
      <c r="J10" s="2">
        <v>83322600</v>
      </c>
      <c r="N10" s="1"/>
      <c r="S10" s="16">
        <f>D10</f>
        <v>44964</v>
      </c>
      <c r="T10" s="2">
        <f>I10:I71</f>
        <v>154.41423034667901</v>
      </c>
      <c r="U10" s="2">
        <f>I142</f>
        <v>362.95001220703102</v>
      </c>
      <c r="V10" s="2">
        <f>I76</f>
        <v>266.891510009765</v>
      </c>
      <c r="W10" s="2">
        <f>I208</f>
        <v>108.040000915527</v>
      </c>
      <c r="Z10" s="18"/>
      <c r="AA10" s="18" t="s">
        <v>8</v>
      </c>
      <c r="AB10" s="18" t="s">
        <v>22</v>
      </c>
      <c r="AC10" s="18" t="s">
        <v>9</v>
      </c>
      <c r="AD10" s="18" t="s">
        <v>11</v>
      </c>
    </row>
    <row r="11" spans="2:34">
      <c r="B11" t="s">
        <v>13</v>
      </c>
      <c r="C11" s="3" t="s">
        <v>8</v>
      </c>
      <c r="D11" s="1">
        <v>44965</v>
      </c>
      <c r="E11" s="2">
        <v>153.88000488281199</v>
      </c>
      <c r="F11" s="2">
        <v>154.58000183105401</v>
      </c>
      <c r="G11" s="2">
        <v>151.169998168945</v>
      </c>
      <c r="H11" s="2">
        <v>151.919998168945</v>
      </c>
      <c r="I11" s="2">
        <v>151.68840026855401</v>
      </c>
      <c r="J11" s="2">
        <v>64120100</v>
      </c>
      <c r="K11" s="42">
        <f>I11-I10/I10</f>
        <v>150.68840026855401</v>
      </c>
      <c r="N11" s="1"/>
      <c r="S11" s="16">
        <f t="shared" ref="S11:S71" si="0">D11</f>
        <v>44965</v>
      </c>
      <c r="T11" s="2">
        <f>I11:I73</f>
        <v>151.68840026855401</v>
      </c>
      <c r="U11" s="2">
        <f t="shared" ref="U11:U71" si="1">I143</f>
        <v>366.829986572265</v>
      </c>
      <c r="V11" s="2">
        <f t="shared" ref="V11:V71" si="2">I77</f>
        <v>266.06359863281199</v>
      </c>
      <c r="W11" s="2">
        <f t="shared" ref="W11:W71" si="3">I209</f>
        <v>100</v>
      </c>
      <c r="Z11" s="19" t="s">
        <v>8</v>
      </c>
      <c r="AA11" s="21">
        <v>1</v>
      </c>
      <c r="AB11" s="22"/>
      <c r="AC11" s="22"/>
      <c r="AD11" s="22"/>
      <c r="AF11" s="26" t="str">
        <f>T7</f>
        <v>AAPL</v>
      </c>
      <c r="AG11" s="26"/>
      <c r="AH11" s="27">
        <f>AVERAGE(J10:J71)</f>
        <v>60282958.064516127</v>
      </c>
    </row>
    <row r="12" spans="2:34">
      <c r="B12" t="s">
        <v>13</v>
      </c>
      <c r="C12" s="3" t="s">
        <v>8</v>
      </c>
      <c r="D12" s="1">
        <v>44966</v>
      </c>
      <c r="E12" s="2">
        <v>153.77999877929599</v>
      </c>
      <c r="F12" s="2">
        <v>154.33000183105401</v>
      </c>
      <c r="G12" s="2">
        <v>150.419998168945</v>
      </c>
      <c r="H12" s="2">
        <v>150.86999511718699</v>
      </c>
      <c r="I12" s="2">
        <v>150.63999938964801</v>
      </c>
      <c r="J12" s="2">
        <v>56007100</v>
      </c>
      <c r="K12" s="42">
        <f t="shared" ref="K12:K71" si="4">I12-I11/I11</f>
        <v>149.63999938964801</v>
      </c>
      <c r="N12" s="1"/>
      <c r="S12" s="16">
        <f t="shared" si="0"/>
        <v>44966</v>
      </c>
      <c r="T12" s="2">
        <f>I12:I74</f>
        <v>150.63999938964801</v>
      </c>
      <c r="U12" s="2">
        <f t="shared" si="1"/>
        <v>362.5</v>
      </c>
      <c r="V12" s="2">
        <f t="shared" si="2"/>
        <v>262.96136474609301</v>
      </c>
      <c r="W12" s="2">
        <f t="shared" si="3"/>
        <v>95.459999084472599</v>
      </c>
      <c r="Z12" s="19" t="s">
        <v>22</v>
      </c>
      <c r="AA12" s="23">
        <v>7.151076084706022E-2</v>
      </c>
      <c r="AB12" s="21">
        <v>1</v>
      </c>
      <c r="AC12" s="22"/>
      <c r="AD12" s="22"/>
      <c r="AF12" s="26" t="str">
        <f>U7</f>
        <v>NSFT</v>
      </c>
      <c r="AG12" s="26"/>
      <c r="AH12" s="27">
        <f>AVERAGE(J142:J203)</f>
        <v>6471732.2580645159</v>
      </c>
    </row>
    <row r="13" spans="2:34">
      <c r="B13" t="s">
        <v>13</v>
      </c>
      <c r="C13" s="3" t="s">
        <v>8</v>
      </c>
      <c r="D13" s="1">
        <v>44967</v>
      </c>
      <c r="E13" s="2">
        <v>149.46000671386699</v>
      </c>
      <c r="F13" s="2">
        <v>151.33999633789</v>
      </c>
      <c r="G13" s="2">
        <v>149.22000122070301</v>
      </c>
      <c r="H13" s="2">
        <v>151.009994506835</v>
      </c>
      <c r="I13" s="2">
        <v>151.009994506835</v>
      </c>
      <c r="J13" s="2">
        <v>57450700</v>
      </c>
      <c r="K13" s="42">
        <f t="shared" si="4"/>
        <v>150.009994506835</v>
      </c>
      <c r="N13" s="1"/>
      <c r="S13" s="16">
        <f t="shared" si="0"/>
        <v>44967</v>
      </c>
      <c r="T13" s="2">
        <f>I13:I75</f>
        <v>151.009994506835</v>
      </c>
      <c r="U13" s="2">
        <f t="shared" si="1"/>
        <v>347.35998535156199</v>
      </c>
      <c r="V13" s="2">
        <f t="shared" si="2"/>
        <v>262.44265747070301</v>
      </c>
      <c r="W13" s="2">
        <f t="shared" si="3"/>
        <v>94.860000610351506</v>
      </c>
      <c r="Z13" s="19" t="s">
        <v>9</v>
      </c>
      <c r="AA13" s="23">
        <v>6.700983852410565E-2</v>
      </c>
      <c r="AB13" s="23">
        <v>0.20568071232873664</v>
      </c>
      <c r="AC13" s="21">
        <v>1</v>
      </c>
      <c r="AD13" s="22"/>
      <c r="AF13" s="26" t="str">
        <f>V7</f>
        <v>MSFT</v>
      </c>
      <c r="AG13" s="26"/>
      <c r="AH13" s="27">
        <f>AVERAGE(J76:J137)</f>
        <v>30848353.225806452</v>
      </c>
    </row>
    <row r="14" spans="2:34" ht="15.75" thickBot="1">
      <c r="B14" t="s">
        <v>13</v>
      </c>
      <c r="C14" s="3" t="s">
        <v>8</v>
      </c>
      <c r="D14" s="1">
        <v>44970</v>
      </c>
      <c r="E14" s="2">
        <v>150.94999694824199</v>
      </c>
      <c r="F14" s="2">
        <v>154.259994506835</v>
      </c>
      <c r="G14" s="2">
        <v>150.919998168945</v>
      </c>
      <c r="H14" s="2">
        <v>153.850006103515</v>
      </c>
      <c r="I14" s="2">
        <v>153.850006103515</v>
      </c>
      <c r="J14" s="2">
        <v>62199000</v>
      </c>
      <c r="K14" s="42">
        <f t="shared" si="4"/>
        <v>152.850006103515</v>
      </c>
      <c r="N14" s="1"/>
      <c r="S14" s="16">
        <f t="shared" si="0"/>
        <v>44970</v>
      </c>
      <c r="T14" s="2">
        <f>I14:I76</f>
        <v>153.850006103515</v>
      </c>
      <c r="U14" s="2">
        <f t="shared" si="1"/>
        <v>358.57000732421801</v>
      </c>
      <c r="V14" s="2">
        <f t="shared" si="2"/>
        <v>270.64212036132801</v>
      </c>
      <c r="W14" s="2">
        <f t="shared" si="3"/>
        <v>95</v>
      </c>
      <c r="Z14" s="20" t="s">
        <v>11</v>
      </c>
      <c r="AA14" s="24">
        <v>0.19259823379209326</v>
      </c>
      <c r="AB14" s="24">
        <v>0.17078068639692751</v>
      </c>
      <c r="AC14" s="24">
        <v>0.90568531156835141</v>
      </c>
      <c r="AD14" s="25">
        <v>1</v>
      </c>
      <c r="AF14" s="26" t="str">
        <f>W7</f>
        <v>GOOG</v>
      </c>
      <c r="AG14" s="26"/>
      <c r="AH14" s="27">
        <f>AVERAGE(J208:J269)</f>
        <v>30725372.580645163</v>
      </c>
    </row>
    <row r="15" spans="2:34">
      <c r="B15" t="s">
        <v>13</v>
      </c>
      <c r="C15" s="3" t="s">
        <v>8</v>
      </c>
      <c r="D15" s="1">
        <v>44971</v>
      </c>
      <c r="E15" s="2">
        <v>152.11999511718699</v>
      </c>
      <c r="F15" s="2">
        <v>153.77000427246</v>
      </c>
      <c r="G15" s="2">
        <v>150.86000061035099</v>
      </c>
      <c r="H15" s="2">
        <v>153.19999694824199</v>
      </c>
      <c r="I15" s="2">
        <v>153.19999694824199</v>
      </c>
      <c r="J15" s="2">
        <v>61707600</v>
      </c>
      <c r="K15" s="42">
        <f t="shared" si="4"/>
        <v>152.19999694824199</v>
      </c>
      <c r="N15" s="1"/>
      <c r="S15" s="16">
        <f t="shared" si="0"/>
        <v>44971</v>
      </c>
      <c r="T15" s="2">
        <f>I15:I77</f>
        <v>153.19999694824199</v>
      </c>
      <c r="U15" s="2">
        <f t="shared" si="1"/>
        <v>359.95999145507801</v>
      </c>
      <c r="V15" s="2">
        <f t="shared" si="2"/>
        <v>271.49002075195301</v>
      </c>
      <c r="W15" s="2">
        <f t="shared" si="3"/>
        <v>94.949996948242102</v>
      </c>
    </row>
    <row r="16" spans="2:34">
      <c r="B16" t="s">
        <v>13</v>
      </c>
      <c r="C16" s="3" t="s">
        <v>8</v>
      </c>
      <c r="D16" s="1">
        <v>44972</v>
      </c>
      <c r="E16" s="2">
        <v>153.11000061035099</v>
      </c>
      <c r="F16" s="2">
        <v>155.5</v>
      </c>
      <c r="G16" s="2">
        <v>152.88000488281199</v>
      </c>
      <c r="H16" s="2">
        <v>155.33000183105401</v>
      </c>
      <c r="I16" s="2">
        <v>155.33000183105401</v>
      </c>
      <c r="J16" s="2">
        <v>65573800</v>
      </c>
      <c r="K16" s="42">
        <f t="shared" si="4"/>
        <v>154.33000183105401</v>
      </c>
      <c r="N16" s="1"/>
      <c r="S16" s="16">
        <f t="shared" si="0"/>
        <v>44972</v>
      </c>
      <c r="T16" s="2">
        <f>I16:I78</f>
        <v>155.33000183105401</v>
      </c>
      <c r="U16" s="2">
        <f t="shared" si="1"/>
        <v>361.42001342773398</v>
      </c>
      <c r="V16" s="2">
        <f t="shared" si="2"/>
        <v>269.32000732421801</v>
      </c>
      <c r="W16" s="2">
        <f t="shared" si="3"/>
        <v>97.099998474121094</v>
      </c>
    </row>
    <row r="17" spans="2:28">
      <c r="B17" t="s">
        <v>13</v>
      </c>
      <c r="C17" s="3" t="s">
        <v>8</v>
      </c>
      <c r="D17" s="1">
        <v>44973</v>
      </c>
      <c r="E17" s="2">
        <v>153.509994506835</v>
      </c>
      <c r="F17" s="2">
        <v>156.33000183105401</v>
      </c>
      <c r="G17" s="2">
        <v>153.350006103515</v>
      </c>
      <c r="H17" s="2">
        <v>153.71000671386699</v>
      </c>
      <c r="I17" s="2">
        <v>153.71000671386699</v>
      </c>
      <c r="J17" s="2">
        <v>68167900</v>
      </c>
      <c r="K17" s="42">
        <f t="shared" si="4"/>
        <v>152.71000671386699</v>
      </c>
      <c r="N17" s="1"/>
      <c r="S17" s="16">
        <f t="shared" si="0"/>
        <v>44973</v>
      </c>
      <c r="T17" s="2">
        <f>I17:I79</f>
        <v>153.71000671386699</v>
      </c>
      <c r="U17" s="2">
        <f t="shared" si="1"/>
        <v>350.70999145507801</v>
      </c>
      <c r="V17" s="2">
        <f t="shared" si="2"/>
        <v>262.14999389648398</v>
      </c>
      <c r="W17" s="2">
        <f t="shared" si="3"/>
        <v>95.779998779296804</v>
      </c>
      <c r="AA17" s="32" t="s">
        <v>24</v>
      </c>
      <c r="AB17" s="32"/>
    </row>
    <row r="18" spans="2:28">
      <c r="B18" t="s">
        <v>13</v>
      </c>
      <c r="C18" s="3" t="s">
        <v>8</v>
      </c>
      <c r="D18" s="1">
        <v>44974</v>
      </c>
      <c r="E18" s="2">
        <v>152.350006103515</v>
      </c>
      <c r="F18" s="2">
        <v>153</v>
      </c>
      <c r="G18" s="2">
        <v>150.850006103515</v>
      </c>
      <c r="H18" s="2">
        <v>152.55000305175699</v>
      </c>
      <c r="I18" s="2">
        <v>152.55000305175699</v>
      </c>
      <c r="J18" s="2">
        <v>59144100</v>
      </c>
      <c r="K18" s="42">
        <f t="shared" si="4"/>
        <v>151.55000305175699</v>
      </c>
      <c r="N18" s="1"/>
      <c r="S18" s="16">
        <f t="shared" si="0"/>
        <v>44974</v>
      </c>
      <c r="T18" s="2">
        <f>I18:I80</f>
        <v>152.55000305175699</v>
      </c>
      <c r="U18" s="2">
        <f t="shared" si="1"/>
        <v>347.95999145507801</v>
      </c>
      <c r="V18" s="2">
        <f t="shared" si="2"/>
        <v>258.05999755859301</v>
      </c>
      <c r="W18" s="2">
        <f t="shared" si="3"/>
        <v>94.589996337890597</v>
      </c>
      <c r="AA18" s="32" t="s">
        <v>25</v>
      </c>
      <c r="AB18" s="32"/>
    </row>
    <row r="19" spans="2:28">
      <c r="B19" t="s">
        <v>13</v>
      </c>
      <c r="C19" s="3" t="s">
        <v>8</v>
      </c>
      <c r="D19" s="1">
        <v>44978</v>
      </c>
      <c r="E19" s="2">
        <v>150.19999694824199</v>
      </c>
      <c r="F19" s="2">
        <v>151.30000305175699</v>
      </c>
      <c r="G19" s="2">
        <v>148.41000366210901</v>
      </c>
      <c r="H19" s="2">
        <v>148.47999572753901</v>
      </c>
      <c r="I19" s="2">
        <v>148.47999572753901</v>
      </c>
      <c r="J19" s="2">
        <v>58867200</v>
      </c>
      <c r="K19" s="42">
        <f t="shared" si="4"/>
        <v>147.47999572753901</v>
      </c>
      <c r="N19" s="1"/>
      <c r="S19" s="16">
        <f t="shared" si="0"/>
        <v>44978</v>
      </c>
      <c r="T19" s="2">
        <f>I19:I81</f>
        <v>148.47999572753901</v>
      </c>
      <c r="U19" s="2">
        <f t="shared" si="1"/>
        <v>337.5</v>
      </c>
      <c r="V19" s="2">
        <f t="shared" si="2"/>
        <v>252.669998168945</v>
      </c>
      <c r="W19" s="2">
        <f t="shared" si="3"/>
        <v>92.050003051757798</v>
      </c>
    </row>
    <row r="20" spans="2:28">
      <c r="B20" t="s">
        <v>13</v>
      </c>
      <c r="C20" s="3" t="s">
        <v>8</v>
      </c>
      <c r="D20" s="1">
        <v>44979</v>
      </c>
      <c r="E20" s="2">
        <v>148.86999511718699</v>
      </c>
      <c r="F20" s="2">
        <v>149.94999694824199</v>
      </c>
      <c r="G20" s="2">
        <v>147.16000366210901</v>
      </c>
      <c r="H20" s="2">
        <v>148.91000366210901</v>
      </c>
      <c r="I20" s="2">
        <v>148.91000366210901</v>
      </c>
      <c r="J20" s="2">
        <v>51011300</v>
      </c>
      <c r="K20" s="42">
        <f t="shared" si="4"/>
        <v>147.91000366210901</v>
      </c>
      <c r="N20" s="1"/>
      <c r="S20" s="16">
        <f t="shared" si="0"/>
        <v>44979</v>
      </c>
      <c r="T20" s="2">
        <f>I20:I82</f>
        <v>148.91000366210901</v>
      </c>
      <c r="U20" s="2">
        <f t="shared" si="1"/>
        <v>334.88000488281199</v>
      </c>
      <c r="V20" s="2">
        <f t="shared" si="2"/>
        <v>251.509994506835</v>
      </c>
      <c r="W20" s="2">
        <f t="shared" si="3"/>
        <v>91.800003051757798</v>
      </c>
    </row>
    <row r="21" spans="2:28">
      <c r="B21" t="s">
        <v>13</v>
      </c>
      <c r="C21" s="3" t="s">
        <v>8</v>
      </c>
      <c r="D21" s="1">
        <v>44980</v>
      </c>
      <c r="E21" s="2">
        <v>150.08999633789</v>
      </c>
      <c r="F21" s="2">
        <v>150.33999633789</v>
      </c>
      <c r="G21" s="2">
        <v>147.24000549316401</v>
      </c>
      <c r="H21" s="2">
        <v>149.39999389648401</v>
      </c>
      <c r="I21" s="2">
        <v>149.39999389648401</v>
      </c>
      <c r="J21" s="2">
        <v>48394200</v>
      </c>
      <c r="K21" s="42">
        <f t="shared" si="4"/>
        <v>148.39999389648401</v>
      </c>
      <c r="N21" s="1"/>
      <c r="S21" s="16">
        <f t="shared" si="0"/>
        <v>44980</v>
      </c>
      <c r="T21" s="2">
        <f>I21:I83</f>
        <v>149.39999389648401</v>
      </c>
      <c r="U21" s="2">
        <f t="shared" si="1"/>
        <v>323.64999389648398</v>
      </c>
      <c r="V21" s="2">
        <f t="shared" si="2"/>
        <v>254.77000427246</v>
      </c>
      <c r="W21" s="2">
        <f t="shared" si="3"/>
        <v>91.069999694824205</v>
      </c>
    </row>
    <row r="22" spans="2:28">
      <c r="B22" t="s">
        <v>13</v>
      </c>
      <c r="C22" s="3" t="s">
        <v>8</v>
      </c>
      <c r="D22" s="1">
        <v>44981</v>
      </c>
      <c r="E22" s="2">
        <v>147.11000061035099</v>
      </c>
      <c r="F22" s="2">
        <v>147.19000244140599</v>
      </c>
      <c r="G22" s="2">
        <v>145.72000122070301</v>
      </c>
      <c r="H22" s="2">
        <v>146.71000671386699</v>
      </c>
      <c r="I22" s="2">
        <v>146.71000671386699</v>
      </c>
      <c r="J22" s="2">
        <v>55469600</v>
      </c>
      <c r="K22" s="42">
        <f t="shared" si="4"/>
        <v>145.71000671386699</v>
      </c>
      <c r="N22" s="1"/>
      <c r="S22" s="16">
        <f t="shared" si="0"/>
        <v>44981</v>
      </c>
      <c r="T22" s="2">
        <f>I22:I84</f>
        <v>146.71000671386699</v>
      </c>
      <c r="U22" s="2">
        <f t="shared" si="1"/>
        <v>317.14999389648398</v>
      </c>
      <c r="V22" s="2">
        <f t="shared" si="2"/>
        <v>249.22000122070301</v>
      </c>
      <c r="W22" s="2">
        <f t="shared" si="3"/>
        <v>89.349998474121094</v>
      </c>
    </row>
    <row r="23" spans="2:28">
      <c r="B23" t="s">
        <v>13</v>
      </c>
      <c r="C23" s="3" t="s">
        <v>8</v>
      </c>
      <c r="D23" s="1">
        <v>44984</v>
      </c>
      <c r="E23" s="2">
        <v>147.71000671386699</v>
      </c>
      <c r="F23" s="2">
        <v>149.169998168945</v>
      </c>
      <c r="G23" s="2">
        <v>147.44999694824199</v>
      </c>
      <c r="H23" s="2">
        <v>147.919998168945</v>
      </c>
      <c r="I23" s="2">
        <v>147.919998168945</v>
      </c>
      <c r="J23" s="2">
        <v>44998500</v>
      </c>
      <c r="K23" s="42">
        <f t="shared" si="4"/>
        <v>146.919998168945</v>
      </c>
      <c r="N23" s="1"/>
      <c r="S23" s="16">
        <f t="shared" si="0"/>
        <v>44984</v>
      </c>
      <c r="T23" s="2">
        <f>I23:I85</f>
        <v>147.919998168945</v>
      </c>
      <c r="U23" s="2">
        <f t="shared" si="1"/>
        <v>323.02999877929602</v>
      </c>
      <c r="V23" s="2">
        <f t="shared" si="2"/>
        <v>250.16000366210901</v>
      </c>
      <c r="W23" s="2">
        <f t="shared" si="3"/>
        <v>90.099998474121094</v>
      </c>
    </row>
    <row r="24" spans="2:28">
      <c r="B24" t="s">
        <v>13</v>
      </c>
      <c r="C24" s="3" t="s">
        <v>8</v>
      </c>
      <c r="D24" s="1">
        <v>44985</v>
      </c>
      <c r="E24" s="2">
        <v>147.05000305175699</v>
      </c>
      <c r="F24" s="2">
        <v>149.08000183105401</v>
      </c>
      <c r="G24" s="2">
        <v>146.83000183105401</v>
      </c>
      <c r="H24" s="2">
        <v>147.41000366210901</v>
      </c>
      <c r="I24" s="2">
        <v>147.41000366210901</v>
      </c>
      <c r="J24" s="2">
        <v>50547000</v>
      </c>
      <c r="K24" s="42">
        <f t="shared" si="4"/>
        <v>146.41000366210901</v>
      </c>
      <c r="N24" s="1"/>
      <c r="S24" s="16">
        <f t="shared" si="0"/>
        <v>44985</v>
      </c>
      <c r="T24" s="2">
        <f>I24:I86</f>
        <v>147.41000366210901</v>
      </c>
      <c r="U24" s="2">
        <f t="shared" si="1"/>
        <v>322.13000488281199</v>
      </c>
      <c r="V24" s="2">
        <f t="shared" si="2"/>
        <v>249.419998168945</v>
      </c>
      <c r="W24" s="2">
        <f t="shared" si="3"/>
        <v>90.300003051757798</v>
      </c>
    </row>
    <row r="25" spans="2:28">
      <c r="B25" t="s">
        <v>13</v>
      </c>
      <c r="C25" s="3" t="s">
        <v>8</v>
      </c>
      <c r="D25" s="1">
        <v>44986</v>
      </c>
      <c r="E25" s="2">
        <v>146.83000183105401</v>
      </c>
      <c r="F25" s="2">
        <v>147.22999572753901</v>
      </c>
      <c r="G25" s="2">
        <v>145.009994506835</v>
      </c>
      <c r="H25" s="2">
        <v>145.30999755859301</v>
      </c>
      <c r="I25" s="2">
        <v>145.30999755859301</v>
      </c>
      <c r="J25" s="2">
        <v>55479000</v>
      </c>
      <c r="K25" s="42">
        <f t="shared" si="4"/>
        <v>144.30999755859301</v>
      </c>
      <c r="N25" s="1"/>
      <c r="S25" s="16">
        <f t="shared" si="0"/>
        <v>44986</v>
      </c>
      <c r="T25" s="2">
        <f>I25:I87</f>
        <v>145.30999755859301</v>
      </c>
      <c r="U25" s="2">
        <f t="shared" si="1"/>
        <v>313.48001098632801</v>
      </c>
      <c r="V25" s="2">
        <f t="shared" si="2"/>
        <v>246.27000427246</v>
      </c>
      <c r="W25" s="2">
        <f t="shared" si="3"/>
        <v>90.510002136230398</v>
      </c>
    </row>
    <row r="26" spans="2:28">
      <c r="B26" t="s">
        <v>13</v>
      </c>
      <c r="C26" s="3" t="s">
        <v>8</v>
      </c>
      <c r="D26" s="1">
        <v>44987</v>
      </c>
      <c r="E26" s="2">
        <v>144.38000488281199</v>
      </c>
      <c r="F26" s="2">
        <v>146.71000671386699</v>
      </c>
      <c r="G26" s="2">
        <v>143.89999389648401</v>
      </c>
      <c r="H26" s="2">
        <v>145.91000366210901</v>
      </c>
      <c r="I26" s="2">
        <v>145.91000366210901</v>
      </c>
      <c r="J26" s="2">
        <v>52238100</v>
      </c>
      <c r="K26" s="42">
        <f t="shared" si="4"/>
        <v>144.91000366210901</v>
      </c>
      <c r="N26" s="1"/>
      <c r="S26" s="16">
        <f t="shared" si="0"/>
        <v>44987</v>
      </c>
      <c r="T26" s="2">
        <f>I26:I88</f>
        <v>145.91000366210901</v>
      </c>
      <c r="U26" s="2">
        <f t="shared" si="1"/>
        <v>311.88000488281199</v>
      </c>
      <c r="V26" s="2">
        <f t="shared" si="2"/>
        <v>251.11000061035099</v>
      </c>
      <c r="W26" s="2">
        <f t="shared" si="3"/>
        <v>92.309997558593693</v>
      </c>
    </row>
    <row r="27" spans="2:28">
      <c r="B27" t="s">
        <v>13</v>
      </c>
      <c r="C27" s="3" t="s">
        <v>8</v>
      </c>
      <c r="D27" s="1">
        <v>44988</v>
      </c>
      <c r="E27" s="2">
        <v>148.03999328613199</v>
      </c>
      <c r="F27" s="2">
        <v>151.11000061035099</v>
      </c>
      <c r="G27" s="2">
        <v>147.33000183105401</v>
      </c>
      <c r="H27" s="2">
        <v>151.02999877929599</v>
      </c>
      <c r="I27" s="2">
        <v>151.02999877929599</v>
      </c>
      <c r="J27" s="2">
        <v>70732300</v>
      </c>
      <c r="K27" s="42">
        <f t="shared" si="4"/>
        <v>150.02999877929599</v>
      </c>
      <c r="N27" s="1"/>
      <c r="S27" s="16">
        <f t="shared" si="0"/>
        <v>44988</v>
      </c>
      <c r="T27" s="2">
        <f>I27:I89</f>
        <v>151.02999877929599</v>
      </c>
      <c r="U27" s="2">
        <f t="shared" si="1"/>
        <v>315.17999267578102</v>
      </c>
      <c r="V27" s="2">
        <f t="shared" si="2"/>
        <v>255.28999328613199</v>
      </c>
      <c r="W27" s="2">
        <f t="shared" si="3"/>
        <v>94.019996643066406</v>
      </c>
    </row>
    <row r="28" spans="2:28">
      <c r="B28" t="s">
        <v>13</v>
      </c>
      <c r="C28" s="3" t="s">
        <v>8</v>
      </c>
      <c r="D28" s="1">
        <v>44991</v>
      </c>
      <c r="E28" s="2">
        <v>153.78999328613199</v>
      </c>
      <c r="F28" s="2">
        <v>156.30000305175699</v>
      </c>
      <c r="G28" s="2">
        <v>153.46000671386699</v>
      </c>
      <c r="H28" s="2">
        <v>153.83000183105401</v>
      </c>
      <c r="I28" s="2">
        <v>153.83000183105401</v>
      </c>
      <c r="J28" s="2">
        <v>87558000</v>
      </c>
      <c r="K28" s="42">
        <f t="shared" si="4"/>
        <v>152.83000183105401</v>
      </c>
      <c r="N28" s="28" t="s">
        <v>30</v>
      </c>
      <c r="O28" s="28"/>
      <c r="P28" s="28"/>
      <c r="S28" s="16">
        <f t="shared" si="0"/>
        <v>44991</v>
      </c>
      <c r="T28" s="2">
        <f>I28:I90</f>
        <v>153.83000183105401</v>
      </c>
      <c r="U28" s="2">
        <f t="shared" si="1"/>
        <v>312.02999877929602</v>
      </c>
      <c r="V28" s="2">
        <f t="shared" si="2"/>
        <v>256.86999511718699</v>
      </c>
      <c r="W28" s="2">
        <f t="shared" si="3"/>
        <v>95.580001831054602</v>
      </c>
    </row>
    <row r="29" spans="2:28">
      <c r="B29" t="s">
        <v>13</v>
      </c>
      <c r="C29" s="3" t="s">
        <v>8</v>
      </c>
      <c r="D29" s="1">
        <v>44992</v>
      </c>
      <c r="E29" s="2">
        <v>153.69999694824199</v>
      </c>
      <c r="F29" s="2">
        <v>154.02999877929599</v>
      </c>
      <c r="G29" s="2">
        <v>151.13000488281199</v>
      </c>
      <c r="H29" s="2">
        <v>151.600006103515</v>
      </c>
      <c r="I29" s="2">
        <v>151.600006103515</v>
      </c>
      <c r="J29" s="2">
        <v>56182000</v>
      </c>
      <c r="K29" s="42">
        <f t="shared" si="4"/>
        <v>150.600006103515</v>
      </c>
      <c r="N29" s="1"/>
      <c r="S29" s="16">
        <f t="shared" si="0"/>
        <v>44992</v>
      </c>
      <c r="T29" s="2">
        <f>I29:I91</f>
        <v>151.600006103515</v>
      </c>
      <c r="U29" s="2">
        <f t="shared" si="1"/>
        <v>308.47000122070301</v>
      </c>
      <c r="V29" s="2">
        <f t="shared" si="2"/>
        <v>254.14999389648401</v>
      </c>
      <c r="W29" s="2">
        <f t="shared" si="3"/>
        <v>94.169998168945298</v>
      </c>
    </row>
    <row r="30" spans="2:28">
      <c r="B30" t="s">
        <v>13</v>
      </c>
      <c r="C30" s="3" t="s">
        <v>8</v>
      </c>
      <c r="D30" s="1">
        <v>44993</v>
      </c>
      <c r="E30" s="2">
        <v>152.80999755859301</v>
      </c>
      <c r="F30" s="2">
        <v>153.47000122070301</v>
      </c>
      <c r="G30" s="2">
        <v>151.83000183105401</v>
      </c>
      <c r="H30" s="2">
        <v>152.86999511718699</v>
      </c>
      <c r="I30" s="2">
        <v>152.86999511718699</v>
      </c>
      <c r="J30" s="2">
        <v>47204800</v>
      </c>
      <c r="K30" s="42">
        <f t="shared" si="4"/>
        <v>151.86999511718699</v>
      </c>
      <c r="S30" s="16">
        <f t="shared" si="0"/>
        <v>44993</v>
      </c>
      <c r="T30" s="2">
        <f>I30:I92</f>
        <v>152.86999511718699</v>
      </c>
      <c r="U30" s="2">
        <f t="shared" si="1"/>
        <v>311.79000854492102</v>
      </c>
      <c r="V30" s="2">
        <f t="shared" si="2"/>
        <v>253.69999694824199</v>
      </c>
      <c r="W30" s="2">
        <f t="shared" si="3"/>
        <v>94.650001525878906</v>
      </c>
    </row>
    <row r="31" spans="2:28">
      <c r="B31" t="s">
        <v>13</v>
      </c>
      <c r="C31" s="3" t="s">
        <v>8</v>
      </c>
      <c r="D31" s="1">
        <v>44994</v>
      </c>
      <c r="E31" s="2">
        <v>153.55999755859301</v>
      </c>
      <c r="F31" s="2">
        <v>154.53999328613199</v>
      </c>
      <c r="G31" s="2">
        <v>150.22999572753901</v>
      </c>
      <c r="H31" s="2">
        <v>150.58999633789</v>
      </c>
      <c r="I31" s="2">
        <v>150.58999633789</v>
      </c>
      <c r="J31" s="2">
        <v>53833600</v>
      </c>
      <c r="K31" s="42">
        <f t="shared" si="4"/>
        <v>149.58999633789</v>
      </c>
      <c r="S31" s="16">
        <f t="shared" si="0"/>
        <v>44994</v>
      </c>
      <c r="T31" s="2">
        <f>I31:I93</f>
        <v>150.58999633789</v>
      </c>
      <c r="U31" s="2">
        <f t="shared" si="1"/>
        <v>297.77999877929602</v>
      </c>
      <c r="V31" s="2">
        <f t="shared" si="2"/>
        <v>252.32000732421801</v>
      </c>
      <c r="W31" s="2">
        <f t="shared" si="3"/>
        <v>92.660003662109304</v>
      </c>
    </row>
    <row r="32" spans="2:28">
      <c r="B32" t="s">
        <v>13</v>
      </c>
      <c r="C32" s="3" t="s">
        <v>8</v>
      </c>
      <c r="D32" s="1">
        <v>44995</v>
      </c>
      <c r="E32" s="2">
        <v>150.21000671386699</v>
      </c>
      <c r="F32" s="2">
        <v>150.94000244140599</v>
      </c>
      <c r="G32" s="2">
        <v>147.61000061035099</v>
      </c>
      <c r="H32" s="2">
        <v>148.5</v>
      </c>
      <c r="I32" s="2">
        <v>148.5</v>
      </c>
      <c r="J32" s="2">
        <v>68572400</v>
      </c>
      <c r="K32" s="42">
        <f t="shared" si="4"/>
        <v>147.5</v>
      </c>
      <c r="S32" s="16">
        <f t="shared" si="0"/>
        <v>44995</v>
      </c>
      <c r="T32" s="2">
        <f>I32:I94</f>
        <v>148.5</v>
      </c>
      <c r="U32" s="2">
        <f t="shared" si="1"/>
        <v>292.760009765625</v>
      </c>
      <c r="V32" s="2">
        <f t="shared" si="2"/>
        <v>248.58999633789</v>
      </c>
      <c r="W32" s="2">
        <f t="shared" si="3"/>
        <v>91.010002136230398</v>
      </c>
    </row>
    <row r="33" spans="2:23">
      <c r="B33" t="s">
        <v>13</v>
      </c>
      <c r="C33" s="3" t="s">
        <v>8</v>
      </c>
      <c r="D33" s="1">
        <v>44998</v>
      </c>
      <c r="E33" s="2">
        <v>147.80999755859301</v>
      </c>
      <c r="F33" s="2">
        <v>153.13999938964801</v>
      </c>
      <c r="G33" s="2">
        <v>147.69999694824199</v>
      </c>
      <c r="H33" s="2">
        <v>150.47000122070301</v>
      </c>
      <c r="I33" s="2">
        <v>150.47000122070301</v>
      </c>
      <c r="J33" s="2">
        <v>84457100</v>
      </c>
      <c r="K33" s="42">
        <f t="shared" si="4"/>
        <v>149.47000122070301</v>
      </c>
      <c r="S33" s="16">
        <f t="shared" si="0"/>
        <v>44998</v>
      </c>
      <c r="T33" s="2">
        <f>I33:I95</f>
        <v>150.47000122070301</v>
      </c>
      <c r="U33" s="2">
        <f t="shared" si="1"/>
        <v>293.510009765625</v>
      </c>
      <c r="V33" s="2">
        <f t="shared" si="2"/>
        <v>253.919998168945</v>
      </c>
      <c r="W33" s="2">
        <f t="shared" si="3"/>
        <v>91.660003662109304</v>
      </c>
    </row>
    <row r="34" spans="2:23">
      <c r="B34" t="s">
        <v>13</v>
      </c>
      <c r="C34" s="3" t="s">
        <v>8</v>
      </c>
      <c r="D34" s="1">
        <v>44999</v>
      </c>
      <c r="E34" s="2">
        <v>151.27999877929599</v>
      </c>
      <c r="F34" s="2">
        <v>153.39999389648401</v>
      </c>
      <c r="G34" s="2">
        <v>150.100006103515</v>
      </c>
      <c r="H34" s="2">
        <v>152.58999633789</v>
      </c>
      <c r="I34" s="2">
        <v>152.58999633789</v>
      </c>
      <c r="J34" s="2">
        <v>73695900</v>
      </c>
      <c r="K34" s="42">
        <f t="shared" si="4"/>
        <v>151.58999633789</v>
      </c>
      <c r="S34" s="16">
        <f t="shared" si="0"/>
        <v>44999</v>
      </c>
      <c r="T34" s="2">
        <f>I34:I96</f>
        <v>152.58999633789</v>
      </c>
      <c r="U34" s="2">
        <f t="shared" si="1"/>
        <v>294.94000244140602</v>
      </c>
      <c r="V34" s="2">
        <f t="shared" si="2"/>
        <v>260.79000854492102</v>
      </c>
      <c r="W34" s="2">
        <f t="shared" si="3"/>
        <v>94.25</v>
      </c>
    </row>
    <row r="35" spans="2:23">
      <c r="B35" t="s">
        <v>13</v>
      </c>
      <c r="C35" s="3" t="s">
        <v>8</v>
      </c>
      <c r="D35" s="1">
        <v>45000</v>
      </c>
      <c r="E35" s="2">
        <v>151.19000244140599</v>
      </c>
      <c r="F35" s="2">
        <v>153.25</v>
      </c>
      <c r="G35" s="2">
        <v>149.919998168945</v>
      </c>
      <c r="H35" s="2">
        <v>152.99000549316401</v>
      </c>
      <c r="I35" s="2">
        <v>152.99000549316401</v>
      </c>
      <c r="J35" s="2">
        <v>77167900</v>
      </c>
      <c r="K35" s="42">
        <f t="shared" si="4"/>
        <v>151.99000549316401</v>
      </c>
      <c r="S35" s="16">
        <f t="shared" si="0"/>
        <v>45000</v>
      </c>
      <c r="T35" s="2">
        <f>I35:I97</f>
        <v>152.99000549316401</v>
      </c>
      <c r="U35" s="2">
        <f t="shared" si="1"/>
        <v>303.79000854492102</v>
      </c>
      <c r="V35" s="2">
        <f t="shared" si="2"/>
        <v>265.44000244140602</v>
      </c>
      <c r="W35" s="2">
        <f t="shared" si="3"/>
        <v>96.550003051757798</v>
      </c>
    </row>
    <row r="36" spans="2:23">
      <c r="B36" t="s">
        <v>13</v>
      </c>
      <c r="C36" s="3" t="s">
        <v>8</v>
      </c>
      <c r="D36" s="1">
        <v>45001</v>
      </c>
      <c r="E36" s="2">
        <v>152.16000366210901</v>
      </c>
      <c r="F36" s="2">
        <v>156.46000671386699</v>
      </c>
      <c r="G36" s="2">
        <v>151.63999938964801</v>
      </c>
      <c r="H36" s="2">
        <v>155.850006103515</v>
      </c>
      <c r="I36" s="2">
        <v>155.850006103515</v>
      </c>
      <c r="J36" s="2">
        <v>76161100</v>
      </c>
      <c r="K36" s="42">
        <f t="shared" si="4"/>
        <v>154.850006103515</v>
      </c>
      <c r="S36" s="16">
        <f t="shared" si="0"/>
        <v>45001</v>
      </c>
      <c r="T36" s="2">
        <f>I36:I98</f>
        <v>155.850006103515</v>
      </c>
      <c r="U36" s="2">
        <f t="shared" si="1"/>
        <v>310.05999755859301</v>
      </c>
      <c r="V36" s="2">
        <f t="shared" si="2"/>
        <v>276.20001220703102</v>
      </c>
      <c r="W36" s="2">
        <f t="shared" si="3"/>
        <v>101.06999969482401</v>
      </c>
    </row>
    <row r="37" spans="2:23">
      <c r="B37" t="s">
        <v>13</v>
      </c>
      <c r="C37" s="3" t="s">
        <v>8</v>
      </c>
      <c r="D37" s="1">
        <v>45002</v>
      </c>
      <c r="E37" s="2">
        <v>156.08000183105401</v>
      </c>
      <c r="F37" s="2">
        <v>156.74000549316401</v>
      </c>
      <c r="G37" s="2">
        <v>154.27999877929599</v>
      </c>
      <c r="H37" s="2">
        <v>155</v>
      </c>
      <c r="I37" s="2">
        <v>155</v>
      </c>
      <c r="J37" s="2">
        <v>98944600</v>
      </c>
      <c r="K37" s="42">
        <f t="shared" si="4"/>
        <v>154</v>
      </c>
      <c r="S37" s="16">
        <f t="shared" si="0"/>
        <v>45002</v>
      </c>
      <c r="T37" s="2">
        <f>I37:I99</f>
        <v>155</v>
      </c>
      <c r="U37" s="2">
        <f t="shared" si="1"/>
        <v>303.5</v>
      </c>
      <c r="V37" s="2">
        <f t="shared" si="2"/>
        <v>279.42999267578102</v>
      </c>
      <c r="W37" s="2">
        <f t="shared" si="3"/>
        <v>102.459999084472</v>
      </c>
    </row>
    <row r="38" spans="2:23">
      <c r="B38" t="s">
        <v>13</v>
      </c>
      <c r="C38" s="3" t="s">
        <v>8</v>
      </c>
      <c r="D38" s="1">
        <v>45005</v>
      </c>
      <c r="E38" s="2">
        <v>155.07000732421801</v>
      </c>
      <c r="F38" s="2">
        <v>157.82000732421801</v>
      </c>
      <c r="G38" s="2">
        <v>154.14999389648401</v>
      </c>
      <c r="H38" s="2">
        <v>157.39999389648401</v>
      </c>
      <c r="I38" s="2">
        <v>157.39999389648401</v>
      </c>
      <c r="J38" s="2">
        <v>73641400</v>
      </c>
      <c r="K38" s="42">
        <f t="shared" si="4"/>
        <v>156.39999389648401</v>
      </c>
      <c r="S38" s="16">
        <f t="shared" si="0"/>
        <v>45005</v>
      </c>
      <c r="T38" s="2">
        <f>I38:I100</f>
        <v>157.39999389648401</v>
      </c>
      <c r="U38" s="2">
        <f t="shared" si="1"/>
        <v>305.13000488281199</v>
      </c>
      <c r="V38" s="2">
        <f t="shared" si="2"/>
        <v>272.23001098632801</v>
      </c>
      <c r="W38" s="2">
        <f t="shared" si="3"/>
        <v>101.930000305175</v>
      </c>
    </row>
    <row r="39" spans="2:23">
      <c r="B39" t="s">
        <v>13</v>
      </c>
      <c r="C39" s="3" t="s">
        <v>8</v>
      </c>
      <c r="D39" s="1">
        <v>45006</v>
      </c>
      <c r="E39" s="2">
        <v>157.32000732421801</v>
      </c>
      <c r="F39" s="2">
        <v>159.39999389648401</v>
      </c>
      <c r="G39" s="2">
        <v>156.53999328613199</v>
      </c>
      <c r="H39" s="2">
        <v>159.27999877929599</v>
      </c>
      <c r="I39" s="2">
        <v>159.27999877929599</v>
      </c>
      <c r="J39" s="2">
        <v>73938300</v>
      </c>
      <c r="K39" s="42">
        <f t="shared" si="4"/>
        <v>158.27999877929599</v>
      </c>
      <c r="S39" s="16">
        <f t="shared" si="0"/>
        <v>45006</v>
      </c>
      <c r="T39" s="2">
        <f>I39:I101</f>
        <v>159.27999877929599</v>
      </c>
      <c r="U39" s="2">
        <f t="shared" si="1"/>
        <v>305.79000854492102</v>
      </c>
      <c r="V39" s="2">
        <f t="shared" si="2"/>
        <v>273.77999877929602</v>
      </c>
      <c r="W39" s="2">
        <f t="shared" si="3"/>
        <v>105.83999633789</v>
      </c>
    </row>
    <row r="40" spans="2:23">
      <c r="B40" t="s">
        <v>13</v>
      </c>
      <c r="C40" s="3" t="s">
        <v>8</v>
      </c>
      <c r="D40" s="1">
        <v>45007</v>
      </c>
      <c r="E40" s="2">
        <v>159.30000305175699</v>
      </c>
      <c r="F40" s="2">
        <v>162.13999938964801</v>
      </c>
      <c r="G40" s="2">
        <v>157.80999755859301</v>
      </c>
      <c r="H40" s="2">
        <v>157.83000183105401</v>
      </c>
      <c r="I40" s="2">
        <v>157.83000183105401</v>
      </c>
      <c r="J40" s="2">
        <v>75701800</v>
      </c>
      <c r="K40" s="42">
        <f t="shared" si="4"/>
        <v>156.83000183105401</v>
      </c>
      <c r="S40" s="16">
        <f t="shared" si="0"/>
        <v>45007</v>
      </c>
      <c r="T40" s="2">
        <f>I40:I102</f>
        <v>157.83000183105401</v>
      </c>
      <c r="U40" s="2">
        <f t="shared" si="1"/>
        <v>293.89999389648398</v>
      </c>
      <c r="V40" s="2">
        <f t="shared" si="2"/>
        <v>272.29000854492102</v>
      </c>
      <c r="W40" s="2">
        <f t="shared" si="3"/>
        <v>104.220001220703</v>
      </c>
    </row>
    <row r="41" spans="2:23">
      <c r="B41" t="s">
        <v>13</v>
      </c>
      <c r="C41" s="3" t="s">
        <v>8</v>
      </c>
      <c r="D41" s="1">
        <v>45008</v>
      </c>
      <c r="E41" s="2">
        <v>158.83000183105401</v>
      </c>
      <c r="F41" s="2">
        <v>161.55000305175699</v>
      </c>
      <c r="G41" s="2">
        <v>157.67999267578099</v>
      </c>
      <c r="H41" s="2">
        <v>158.92999267578099</v>
      </c>
      <c r="I41" s="2">
        <v>158.92999267578099</v>
      </c>
      <c r="J41" s="2">
        <v>67622100</v>
      </c>
      <c r="K41" s="42">
        <f t="shared" si="4"/>
        <v>157.92999267578099</v>
      </c>
      <c r="S41" s="16">
        <f t="shared" si="0"/>
        <v>45008</v>
      </c>
      <c r="T41" s="2">
        <f>I41:I103</f>
        <v>158.92999267578099</v>
      </c>
      <c r="U41" s="2">
        <f t="shared" si="1"/>
        <v>320.36999511718699</v>
      </c>
      <c r="V41" s="2">
        <f t="shared" si="2"/>
        <v>277.66000366210898</v>
      </c>
      <c r="W41" s="2">
        <f t="shared" si="3"/>
        <v>106.26000213623</v>
      </c>
    </row>
    <row r="42" spans="2:23">
      <c r="B42" t="s">
        <v>13</v>
      </c>
      <c r="C42" s="3" t="s">
        <v>8</v>
      </c>
      <c r="D42" s="1">
        <v>45009</v>
      </c>
      <c r="E42" s="2">
        <v>158.86000061035099</v>
      </c>
      <c r="F42" s="2">
        <v>160.33999633789</v>
      </c>
      <c r="G42" s="2">
        <v>157.850006103515</v>
      </c>
      <c r="H42" s="2">
        <v>160.25</v>
      </c>
      <c r="I42" s="2">
        <v>160.25</v>
      </c>
      <c r="J42" s="2">
        <v>59196500</v>
      </c>
      <c r="K42" s="42">
        <f t="shared" si="4"/>
        <v>159.25</v>
      </c>
      <c r="S42" s="16">
        <f t="shared" si="0"/>
        <v>45009</v>
      </c>
      <c r="T42" s="2">
        <f>I42:I104</f>
        <v>160.25</v>
      </c>
      <c r="U42" s="2">
        <f t="shared" si="1"/>
        <v>328.39001464843699</v>
      </c>
      <c r="V42" s="2">
        <f t="shared" si="2"/>
        <v>280.57000732421801</v>
      </c>
      <c r="W42" s="2">
        <f t="shared" si="3"/>
        <v>106.059997558593</v>
      </c>
    </row>
    <row r="43" spans="2:23">
      <c r="B43" t="s">
        <v>13</v>
      </c>
      <c r="C43" s="3" t="s">
        <v>8</v>
      </c>
      <c r="D43" s="1">
        <v>45012</v>
      </c>
      <c r="E43" s="2">
        <v>159.94000244140599</v>
      </c>
      <c r="F43" s="2">
        <v>160.77000427246</v>
      </c>
      <c r="G43" s="2">
        <v>157.86999511718699</v>
      </c>
      <c r="H43" s="2">
        <v>158.27999877929599</v>
      </c>
      <c r="I43" s="2">
        <v>158.27999877929599</v>
      </c>
      <c r="J43" s="2">
        <v>52390300</v>
      </c>
      <c r="K43" s="42">
        <f t="shared" si="4"/>
        <v>157.27999877929599</v>
      </c>
      <c r="S43" s="16">
        <f t="shared" si="0"/>
        <v>45012</v>
      </c>
      <c r="T43" s="2">
        <f>I43:I105</f>
        <v>158.27999877929599</v>
      </c>
      <c r="U43" s="2">
        <f t="shared" si="1"/>
        <v>327.66000366210898</v>
      </c>
      <c r="V43" s="2">
        <f t="shared" si="2"/>
        <v>276.38000488281199</v>
      </c>
      <c r="W43" s="2">
        <f t="shared" si="3"/>
        <v>103.059997558593</v>
      </c>
    </row>
    <row r="44" spans="2:23">
      <c r="B44" t="s">
        <v>13</v>
      </c>
      <c r="C44" s="3" t="s">
        <v>8</v>
      </c>
      <c r="D44" s="1">
        <v>45013</v>
      </c>
      <c r="E44" s="2">
        <v>157.97000122070301</v>
      </c>
      <c r="F44" s="2">
        <v>158.49000549316401</v>
      </c>
      <c r="G44" s="2">
        <v>155.97999572753901</v>
      </c>
      <c r="H44" s="2">
        <v>157.64999389648401</v>
      </c>
      <c r="I44" s="2">
        <v>157.64999389648401</v>
      </c>
      <c r="J44" s="2">
        <v>45992200</v>
      </c>
      <c r="K44" s="42">
        <f t="shared" si="4"/>
        <v>156.64999389648401</v>
      </c>
      <c r="S44" s="16">
        <f t="shared" si="0"/>
        <v>45013</v>
      </c>
      <c r="T44" s="2">
        <f>I44:I106</f>
        <v>157.64999389648401</v>
      </c>
      <c r="U44" s="2">
        <f t="shared" si="1"/>
        <v>323.51998901367102</v>
      </c>
      <c r="V44" s="2">
        <f t="shared" si="2"/>
        <v>275.23001098632801</v>
      </c>
      <c r="W44" s="2">
        <f t="shared" si="3"/>
        <v>101.36000061035099</v>
      </c>
    </row>
    <row r="45" spans="2:23">
      <c r="B45" t="s">
        <v>13</v>
      </c>
      <c r="C45" s="3" t="s">
        <v>8</v>
      </c>
      <c r="D45" s="1">
        <v>45014</v>
      </c>
      <c r="E45" s="2">
        <v>159.36999511718699</v>
      </c>
      <c r="F45" s="2">
        <v>161.05000305175699</v>
      </c>
      <c r="G45" s="2">
        <v>159.350006103515</v>
      </c>
      <c r="H45" s="2">
        <v>160.77000427246</v>
      </c>
      <c r="I45" s="2">
        <v>160.77000427246</v>
      </c>
      <c r="J45" s="2">
        <v>51305700</v>
      </c>
      <c r="K45" s="42">
        <f t="shared" si="4"/>
        <v>159.77000427246</v>
      </c>
      <c r="S45" s="16">
        <f t="shared" si="0"/>
        <v>45014</v>
      </c>
      <c r="T45" s="2">
        <f>I45:I107</f>
        <v>160.77000427246</v>
      </c>
      <c r="U45" s="2">
        <f t="shared" si="1"/>
        <v>332.02999877929602</v>
      </c>
      <c r="V45" s="2">
        <f t="shared" si="2"/>
        <v>280.510009765625</v>
      </c>
      <c r="W45" s="2">
        <f t="shared" si="3"/>
        <v>101.900001525878</v>
      </c>
    </row>
    <row r="46" spans="2:23">
      <c r="B46" t="s">
        <v>13</v>
      </c>
      <c r="C46" s="3" t="s">
        <v>8</v>
      </c>
      <c r="D46" s="1">
        <v>45015</v>
      </c>
      <c r="E46" s="2">
        <v>161.52999877929599</v>
      </c>
      <c r="F46" s="2">
        <v>162.47000122070301</v>
      </c>
      <c r="G46" s="2">
        <v>161.27000427246</v>
      </c>
      <c r="H46" s="2">
        <v>162.36000061035099</v>
      </c>
      <c r="I46" s="2">
        <v>162.36000061035099</v>
      </c>
      <c r="J46" s="2">
        <v>49501700</v>
      </c>
      <c r="K46" s="42">
        <f t="shared" si="4"/>
        <v>161.36000061035099</v>
      </c>
      <c r="S46" s="16">
        <f t="shared" si="0"/>
        <v>45015</v>
      </c>
      <c r="T46" s="2">
        <f>I46:I108</f>
        <v>162.36000061035099</v>
      </c>
      <c r="U46" s="2">
        <f t="shared" si="1"/>
        <v>338.42999267578102</v>
      </c>
      <c r="V46" s="2">
        <f t="shared" si="2"/>
        <v>284.04998779296801</v>
      </c>
      <c r="W46" s="2">
        <f t="shared" si="3"/>
        <v>101.31999969482401</v>
      </c>
    </row>
    <row r="47" spans="2:23">
      <c r="B47" t="s">
        <v>13</v>
      </c>
      <c r="C47" s="3" t="s">
        <v>8</v>
      </c>
      <c r="D47" s="1">
        <v>45016</v>
      </c>
      <c r="E47" s="2">
        <v>162.44000244140599</v>
      </c>
      <c r="F47" s="2">
        <v>165</v>
      </c>
      <c r="G47" s="2">
        <v>161.91000366210901</v>
      </c>
      <c r="H47" s="2">
        <v>164.89999389648401</v>
      </c>
      <c r="I47" s="2">
        <v>164.89999389648401</v>
      </c>
      <c r="J47" s="2">
        <v>68749800</v>
      </c>
      <c r="K47" s="42">
        <f t="shared" si="4"/>
        <v>163.89999389648401</v>
      </c>
      <c r="S47" s="16">
        <f t="shared" si="0"/>
        <v>45016</v>
      </c>
      <c r="T47" s="2">
        <f>I47:I109</f>
        <v>164.89999389648401</v>
      </c>
      <c r="U47" s="2">
        <f t="shared" si="1"/>
        <v>345.48001098632801</v>
      </c>
      <c r="V47" s="2">
        <f t="shared" si="2"/>
        <v>288.29998779296801</v>
      </c>
      <c r="W47" s="2">
        <f t="shared" si="3"/>
        <v>104</v>
      </c>
    </row>
    <row r="48" spans="2:23">
      <c r="B48" t="s">
        <v>13</v>
      </c>
      <c r="C48" s="3" t="s">
        <v>8</v>
      </c>
      <c r="D48" s="1">
        <v>45019</v>
      </c>
      <c r="E48" s="2">
        <v>164.27000427246</v>
      </c>
      <c r="F48" s="2">
        <v>166.28999328613199</v>
      </c>
      <c r="G48" s="2">
        <v>164.22000122070301</v>
      </c>
      <c r="H48" s="2">
        <v>166.169998168945</v>
      </c>
      <c r="I48" s="2">
        <v>166.169998168945</v>
      </c>
      <c r="J48" s="2">
        <v>56976200</v>
      </c>
      <c r="K48" s="42">
        <f t="shared" si="4"/>
        <v>165.169998168945</v>
      </c>
      <c r="S48" s="16">
        <f t="shared" si="0"/>
        <v>45019</v>
      </c>
      <c r="T48" s="2">
        <f>I48:I110</f>
        <v>166.169998168945</v>
      </c>
      <c r="U48" s="2">
        <f t="shared" si="1"/>
        <v>348.27999877929602</v>
      </c>
      <c r="V48" s="2">
        <f t="shared" si="2"/>
        <v>287.23001098632801</v>
      </c>
      <c r="W48" s="2">
        <f t="shared" si="3"/>
        <v>104.91000366210901</v>
      </c>
    </row>
    <row r="49" spans="2:23">
      <c r="B49" t="s">
        <v>13</v>
      </c>
      <c r="C49" s="3" t="s">
        <v>8</v>
      </c>
      <c r="D49" s="1">
        <v>45020</v>
      </c>
      <c r="E49" s="2">
        <v>166.600006103515</v>
      </c>
      <c r="F49" s="2">
        <v>166.83999633789</v>
      </c>
      <c r="G49" s="2">
        <v>165.11000061035099</v>
      </c>
      <c r="H49" s="2">
        <v>165.63000488281199</v>
      </c>
      <c r="I49" s="2">
        <v>165.63000488281199</v>
      </c>
      <c r="J49" s="2">
        <v>46278300</v>
      </c>
      <c r="K49" s="42">
        <f t="shared" si="4"/>
        <v>164.63000488281199</v>
      </c>
      <c r="N49" s="30" t="s">
        <v>39</v>
      </c>
      <c r="O49" s="30"/>
      <c r="P49" s="30"/>
      <c r="S49" s="16">
        <f t="shared" si="0"/>
        <v>45020</v>
      </c>
      <c r="T49" s="2">
        <f>I49:I111</f>
        <v>165.63000488281199</v>
      </c>
      <c r="U49" s="2">
        <f t="shared" si="1"/>
        <v>346.75</v>
      </c>
      <c r="V49" s="2">
        <f t="shared" si="2"/>
        <v>287.17999267578102</v>
      </c>
      <c r="W49" s="2">
        <f t="shared" si="3"/>
        <v>105.120002746582</v>
      </c>
    </row>
    <row r="50" spans="2:23">
      <c r="B50" t="s">
        <v>13</v>
      </c>
      <c r="C50" s="3" t="s">
        <v>8</v>
      </c>
      <c r="D50" s="1">
        <v>45021</v>
      </c>
      <c r="E50" s="2">
        <v>164.74000549316401</v>
      </c>
      <c r="F50" s="2">
        <v>165.05000305175699</v>
      </c>
      <c r="G50" s="2">
        <v>161.80000305175699</v>
      </c>
      <c r="H50" s="2">
        <v>163.759994506835</v>
      </c>
      <c r="I50" s="2">
        <v>163.759994506835</v>
      </c>
      <c r="J50" s="2">
        <v>51511700</v>
      </c>
      <c r="K50" s="42">
        <f t="shared" si="4"/>
        <v>162.759994506835</v>
      </c>
      <c r="S50" s="16">
        <f t="shared" si="0"/>
        <v>45021</v>
      </c>
      <c r="T50" s="2">
        <f>I50:I112</f>
        <v>163.759994506835</v>
      </c>
      <c r="U50" s="2">
        <f t="shared" si="1"/>
        <v>342.350006103515</v>
      </c>
      <c r="V50" s="2">
        <f t="shared" si="2"/>
        <v>284.33999633789</v>
      </c>
      <c r="W50" s="2">
        <f t="shared" si="3"/>
        <v>104.949996948242</v>
      </c>
    </row>
    <row r="51" spans="2:23">
      <c r="B51" t="s">
        <v>13</v>
      </c>
      <c r="C51" s="3" t="s">
        <v>8</v>
      </c>
      <c r="D51" s="1">
        <v>45022</v>
      </c>
      <c r="E51" s="2">
        <v>162.42999267578099</v>
      </c>
      <c r="F51" s="2">
        <v>164.96000671386699</v>
      </c>
      <c r="G51" s="2">
        <v>162</v>
      </c>
      <c r="H51" s="2">
        <v>164.66000366210901</v>
      </c>
      <c r="I51" s="2">
        <v>164.66000366210901</v>
      </c>
      <c r="J51" s="2">
        <v>45390100</v>
      </c>
      <c r="K51" s="42">
        <f t="shared" si="4"/>
        <v>163.66000366210901</v>
      </c>
      <c r="S51" s="16">
        <f t="shared" si="0"/>
        <v>45022</v>
      </c>
      <c r="T51" s="2">
        <f>I51:I113</f>
        <v>164.66000366210901</v>
      </c>
      <c r="U51" s="2">
        <f t="shared" si="1"/>
        <v>339.329986572265</v>
      </c>
      <c r="V51" s="2">
        <f t="shared" si="2"/>
        <v>291.600006103515</v>
      </c>
      <c r="W51" s="2">
        <f t="shared" si="3"/>
        <v>108.900001525878</v>
      </c>
    </row>
    <row r="52" spans="2:23">
      <c r="B52" t="s">
        <v>13</v>
      </c>
      <c r="C52" s="3" t="s">
        <v>8</v>
      </c>
      <c r="D52" s="1">
        <v>45026</v>
      </c>
      <c r="E52" s="2">
        <v>161.419998168945</v>
      </c>
      <c r="F52" s="2">
        <v>162.02999877929599</v>
      </c>
      <c r="G52" s="2">
        <v>160.08000183105401</v>
      </c>
      <c r="H52" s="2">
        <v>162.02999877929599</v>
      </c>
      <c r="I52" s="2">
        <v>162.02999877929599</v>
      </c>
      <c r="J52" s="2">
        <v>47716900</v>
      </c>
      <c r="K52" s="42">
        <f t="shared" si="4"/>
        <v>161.02999877929599</v>
      </c>
      <c r="S52" s="16">
        <f t="shared" si="0"/>
        <v>45026</v>
      </c>
      <c r="T52" s="2">
        <f>I52:I114</f>
        <v>162.02999877929599</v>
      </c>
      <c r="U52" s="2">
        <f t="shared" si="1"/>
        <v>338.989990234375</v>
      </c>
      <c r="V52" s="2">
        <f t="shared" si="2"/>
        <v>289.39001464843699</v>
      </c>
      <c r="W52" s="2">
        <f t="shared" si="3"/>
        <v>106.949996948242</v>
      </c>
    </row>
    <row r="53" spans="2:23">
      <c r="B53" t="s">
        <v>13</v>
      </c>
      <c r="C53" s="3" t="s">
        <v>8</v>
      </c>
      <c r="D53" s="1">
        <v>45027</v>
      </c>
      <c r="E53" s="2">
        <v>162.350006103515</v>
      </c>
      <c r="F53" s="2">
        <v>162.36000061035099</v>
      </c>
      <c r="G53" s="2">
        <v>160.509994506835</v>
      </c>
      <c r="H53" s="2">
        <v>160.80000305175699</v>
      </c>
      <c r="I53" s="2">
        <v>160.80000305175699</v>
      </c>
      <c r="J53" s="2">
        <v>47644200</v>
      </c>
      <c r="K53" s="42">
        <f t="shared" si="4"/>
        <v>159.80000305175699</v>
      </c>
      <c r="S53" s="16">
        <f t="shared" si="0"/>
        <v>45027</v>
      </c>
      <c r="T53" s="2">
        <f>I53:I115</f>
        <v>160.80000305175699</v>
      </c>
      <c r="U53" s="2">
        <f t="shared" si="1"/>
        <v>338.20999145507801</v>
      </c>
      <c r="V53" s="2">
        <f t="shared" si="2"/>
        <v>282.829986572265</v>
      </c>
      <c r="W53" s="2">
        <f t="shared" si="3"/>
        <v>106.120002746582</v>
      </c>
    </row>
    <row r="54" spans="2:23">
      <c r="B54" t="s">
        <v>13</v>
      </c>
      <c r="C54" s="3" t="s">
        <v>8</v>
      </c>
      <c r="D54" s="1">
        <v>45028</v>
      </c>
      <c r="E54" s="2">
        <v>161.22000122070301</v>
      </c>
      <c r="F54" s="2">
        <v>162.05999755859301</v>
      </c>
      <c r="G54" s="2">
        <v>159.77999877929599</v>
      </c>
      <c r="H54" s="2">
        <v>160.100006103515</v>
      </c>
      <c r="I54" s="2">
        <v>160.100006103515</v>
      </c>
      <c r="J54" s="2">
        <v>50133100</v>
      </c>
      <c r="K54" s="42">
        <f t="shared" si="4"/>
        <v>159.100006103515</v>
      </c>
      <c r="S54" s="16">
        <f t="shared" si="0"/>
        <v>45028</v>
      </c>
      <c r="T54" s="2">
        <f>I54:I116</f>
        <v>160.100006103515</v>
      </c>
      <c r="U54" s="2">
        <f t="shared" si="1"/>
        <v>331.02999877929602</v>
      </c>
      <c r="V54" s="2">
        <f t="shared" si="2"/>
        <v>283.489990234375</v>
      </c>
      <c r="W54" s="2">
        <f t="shared" si="3"/>
        <v>105.220001220703</v>
      </c>
    </row>
    <row r="55" spans="2:23">
      <c r="B55" t="s">
        <v>13</v>
      </c>
      <c r="C55" s="3" t="s">
        <v>8</v>
      </c>
      <c r="D55" s="1">
        <v>45029</v>
      </c>
      <c r="E55" s="2">
        <v>161.63000488281199</v>
      </c>
      <c r="F55" s="2">
        <v>165.80000305175699</v>
      </c>
      <c r="G55" s="2">
        <v>161.419998168945</v>
      </c>
      <c r="H55" s="2">
        <v>165.55999755859301</v>
      </c>
      <c r="I55" s="2">
        <v>165.55999755859301</v>
      </c>
      <c r="J55" s="2">
        <v>68445600</v>
      </c>
      <c r="K55" s="42">
        <f t="shared" si="4"/>
        <v>164.55999755859301</v>
      </c>
      <c r="S55" s="16">
        <f t="shared" si="0"/>
        <v>45029</v>
      </c>
      <c r="T55" s="2">
        <f>I55:I117</f>
        <v>165.55999755859301</v>
      </c>
      <c r="U55" s="2">
        <f t="shared" si="1"/>
        <v>346.19000244140602</v>
      </c>
      <c r="V55" s="2">
        <f t="shared" si="2"/>
        <v>289.83999633789</v>
      </c>
      <c r="W55" s="2">
        <f t="shared" si="3"/>
        <v>108.19000244140599</v>
      </c>
    </row>
    <row r="56" spans="2:23">
      <c r="B56" t="s">
        <v>13</v>
      </c>
      <c r="C56" s="3" t="s">
        <v>8</v>
      </c>
      <c r="D56" s="1">
        <v>45030</v>
      </c>
      <c r="E56" s="2">
        <v>164.58999633789</v>
      </c>
      <c r="F56" s="2">
        <v>166.32000732421801</v>
      </c>
      <c r="G56" s="2">
        <v>163.82000732421801</v>
      </c>
      <c r="H56" s="2">
        <v>165.21000671386699</v>
      </c>
      <c r="I56" s="2">
        <v>165.21000671386699</v>
      </c>
      <c r="J56" s="2">
        <v>49386500</v>
      </c>
      <c r="K56" s="42">
        <f t="shared" si="4"/>
        <v>164.21000671386699</v>
      </c>
      <c r="S56" s="16">
        <f t="shared" si="0"/>
        <v>45030</v>
      </c>
      <c r="T56" s="2">
        <f>I56:I118</f>
        <v>165.21000671386699</v>
      </c>
      <c r="U56" s="2">
        <f t="shared" si="1"/>
        <v>338.63000488281199</v>
      </c>
      <c r="V56" s="2">
        <f t="shared" si="2"/>
        <v>286.14001464843699</v>
      </c>
      <c r="W56" s="2">
        <f t="shared" si="3"/>
        <v>109.459999084472</v>
      </c>
    </row>
    <row r="57" spans="2:23">
      <c r="B57" t="s">
        <v>13</v>
      </c>
      <c r="C57" s="3" t="s">
        <v>8</v>
      </c>
      <c r="D57" s="1">
        <v>45033</v>
      </c>
      <c r="E57" s="2">
        <v>165.08999633789</v>
      </c>
      <c r="F57" s="2">
        <v>165.38999938964801</v>
      </c>
      <c r="G57" s="2">
        <v>164.02999877929599</v>
      </c>
      <c r="H57" s="2">
        <v>165.22999572753901</v>
      </c>
      <c r="I57" s="2">
        <v>165.22999572753901</v>
      </c>
      <c r="J57" s="2">
        <v>41516200</v>
      </c>
      <c r="K57" s="42">
        <f t="shared" si="4"/>
        <v>164.22999572753901</v>
      </c>
      <c r="S57" s="16">
        <f t="shared" si="0"/>
        <v>45033</v>
      </c>
      <c r="T57" s="2">
        <f>I57:I119</f>
        <v>165.22999572753901</v>
      </c>
      <c r="U57" s="2">
        <f t="shared" si="1"/>
        <v>332.72000122070301</v>
      </c>
      <c r="V57" s="2">
        <f t="shared" si="2"/>
        <v>288.79998779296801</v>
      </c>
      <c r="W57" s="2">
        <f t="shared" si="3"/>
        <v>106.419998168945</v>
      </c>
    </row>
    <row r="58" spans="2:23">
      <c r="B58" t="s">
        <v>13</v>
      </c>
      <c r="C58" s="3" t="s">
        <v>8</v>
      </c>
      <c r="D58" s="1">
        <v>45034</v>
      </c>
      <c r="E58" s="2">
        <v>166.100006103515</v>
      </c>
      <c r="F58" s="2">
        <v>167.41000366210901</v>
      </c>
      <c r="G58" s="2">
        <v>165.64999389648401</v>
      </c>
      <c r="H58" s="2">
        <v>166.47000122070301</v>
      </c>
      <c r="I58" s="2">
        <v>166.47000122070301</v>
      </c>
      <c r="J58" s="2">
        <v>49923000</v>
      </c>
      <c r="K58" s="42">
        <f t="shared" si="4"/>
        <v>165.47000122070301</v>
      </c>
      <c r="S58" s="16">
        <f t="shared" si="0"/>
        <v>45034</v>
      </c>
      <c r="T58" s="2">
        <f>I58:I120</f>
        <v>166.47000122070301</v>
      </c>
      <c r="U58" s="2">
        <f t="shared" si="1"/>
        <v>333.70001220703102</v>
      </c>
      <c r="V58" s="2">
        <f t="shared" si="2"/>
        <v>288.36999511718699</v>
      </c>
      <c r="W58" s="2">
        <f t="shared" si="3"/>
        <v>105.120002746582</v>
      </c>
    </row>
    <row r="59" spans="2:23">
      <c r="B59" t="s">
        <v>13</v>
      </c>
      <c r="C59" s="3" t="s">
        <v>8</v>
      </c>
      <c r="D59" s="1">
        <v>45035</v>
      </c>
      <c r="E59" s="2">
        <v>165.80000305175699</v>
      </c>
      <c r="F59" s="2">
        <v>168.16000366210901</v>
      </c>
      <c r="G59" s="2">
        <v>165.53999328613199</v>
      </c>
      <c r="H59" s="2">
        <v>167.63000488281199</v>
      </c>
      <c r="I59" s="2">
        <v>167.63000488281199</v>
      </c>
      <c r="J59" s="2">
        <v>47720200</v>
      </c>
      <c r="K59" s="42">
        <f t="shared" si="4"/>
        <v>166.63000488281199</v>
      </c>
      <c r="S59" s="16">
        <f t="shared" si="0"/>
        <v>45035</v>
      </c>
      <c r="T59" s="2">
        <f>I59:I121</f>
        <v>167.63000488281199</v>
      </c>
      <c r="U59" s="2">
        <f t="shared" si="1"/>
        <v>323.11999511718699</v>
      </c>
      <c r="V59" s="2">
        <f t="shared" si="2"/>
        <v>288.45001220703102</v>
      </c>
      <c r="W59" s="2">
        <f t="shared" si="3"/>
        <v>105.01999664306599</v>
      </c>
    </row>
    <row r="60" spans="2:23">
      <c r="B60" t="s">
        <v>13</v>
      </c>
      <c r="C60" s="3" t="s">
        <v>8</v>
      </c>
      <c r="D60" s="1">
        <v>45036</v>
      </c>
      <c r="E60" s="2">
        <v>166.08999633789</v>
      </c>
      <c r="F60" s="2">
        <v>167.86999511718699</v>
      </c>
      <c r="G60" s="2">
        <v>165.55999755859301</v>
      </c>
      <c r="H60" s="2">
        <v>166.64999389648401</v>
      </c>
      <c r="I60" s="2">
        <v>166.64999389648401</v>
      </c>
      <c r="J60" s="2">
        <v>52456400</v>
      </c>
      <c r="K60" s="42">
        <f t="shared" si="4"/>
        <v>165.64999389648401</v>
      </c>
      <c r="S60" s="16">
        <f t="shared" si="0"/>
        <v>45036</v>
      </c>
      <c r="T60" s="2">
        <f>I60:I122</f>
        <v>166.64999389648401</v>
      </c>
      <c r="U60" s="2">
        <f t="shared" si="1"/>
        <v>325.350006103515</v>
      </c>
      <c r="V60" s="2">
        <f t="shared" si="2"/>
        <v>286.10998535156199</v>
      </c>
      <c r="W60" s="2">
        <f t="shared" si="3"/>
        <v>105.900001525878</v>
      </c>
    </row>
    <row r="61" spans="2:23">
      <c r="B61" t="s">
        <v>13</v>
      </c>
      <c r="C61" s="3" t="s">
        <v>8</v>
      </c>
      <c r="D61" s="1">
        <v>45037</v>
      </c>
      <c r="E61" s="2">
        <v>165.05000305175699</v>
      </c>
      <c r="F61" s="2">
        <v>166.44999694824199</v>
      </c>
      <c r="G61" s="2">
        <v>164.49000549316401</v>
      </c>
      <c r="H61" s="2">
        <v>165.02000427246</v>
      </c>
      <c r="I61" s="2">
        <v>165.02000427246</v>
      </c>
      <c r="J61" s="2">
        <v>58337300</v>
      </c>
      <c r="K61" s="42">
        <f t="shared" si="4"/>
        <v>164.02000427246</v>
      </c>
      <c r="S61" s="16">
        <f t="shared" si="0"/>
        <v>45037</v>
      </c>
      <c r="T61" s="2">
        <f>I61:I123</f>
        <v>165.02000427246</v>
      </c>
      <c r="U61" s="2">
        <f t="shared" si="1"/>
        <v>327.98001098632801</v>
      </c>
      <c r="V61" s="2">
        <f t="shared" si="2"/>
        <v>285.760009765625</v>
      </c>
      <c r="W61" s="2">
        <f t="shared" si="3"/>
        <v>105.91000366210901</v>
      </c>
    </row>
    <row r="62" spans="2:23">
      <c r="B62" t="s">
        <v>13</v>
      </c>
      <c r="C62" s="3" t="s">
        <v>8</v>
      </c>
      <c r="D62" s="1">
        <v>45040</v>
      </c>
      <c r="E62" s="2">
        <v>165</v>
      </c>
      <c r="F62" s="2">
        <v>165.600006103515</v>
      </c>
      <c r="G62" s="2">
        <v>163.88999938964801</v>
      </c>
      <c r="H62" s="2">
        <v>165.33000183105401</v>
      </c>
      <c r="I62" s="2">
        <v>165.33000183105401</v>
      </c>
      <c r="J62" s="2">
        <v>41949600</v>
      </c>
      <c r="K62" s="42">
        <f t="shared" si="4"/>
        <v>164.33000183105401</v>
      </c>
      <c r="S62" s="16">
        <f t="shared" si="0"/>
        <v>45040</v>
      </c>
      <c r="T62" s="2">
        <f>I62:I124</f>
        <v>165.33000183105401</v>
      </c>
      <c r="U62" s="2">
        <f t="shared" si="1"/>
        <v>329.01998901367102</v>
      </c>
      <c r="V62" s="2">
        <f t="shared" si="2"/>
        <v>281.76998901367102</v>
      </c>
      <c r="W62" s="2">
        <f t="shared" si="3"/>
        <v>106.77999877929599</v>
      </c>
    </row>
    <row r="63" spans="2:23">
      <c r="B63" t="s">
        <v>13</v>
      </c>
      <c r="C63" s="3" t="s">
        <v>8</v>
      </c>
      <c r="D63" s="1">
        <v>45041</v>
      </c>
      <c r="E63" s="2">
        <v>165.19000244140599</v>
      </c>
      <c r="F63" s="2">
        <v>166.30999755859301</v>
      </c>
      <c r="G63" s="2">
        <v>163.72999572753901</v>
      </c>
      <c r="H63" s="2">
        <v>163.77000427246</v>
      </c>
      <c r="I63" s="2">
        <v>163.77000427246</v>
      </c>
      <c r="J63" s="2">
        <v>48714100</v>
      </c>
      <c r="K63" s="42">
        <f t="shared" si="4"/>
        <v>162.77000427246</v>
      </c>
      <c r="S63" s="16">
        <f t="shared" si="0"/>
        <v>45041</v>
      </c>
      <c r="T63" s="2">
        <f>I63:I125</f>
        <v>163.77000427246</v>
      </c>
      <c r="U63" s="2">
        <f t="shared" si="1"/>
        <v>322.54998779296801</v>
      </c>
      <c r="V63" s="2">
        <f t="shared" si="2"/>
        <v>275.42001342773398</v>
      </c>
      <c r="W63" s="2">
        <f t="shared" si="3"/>
        <v>104.61000061035099</v>
      </c>
    </row>
    <row r="64" spans="2:23">
      <c r="B64" t="s">
        <v>13</v>
      </c>
      <c r="C64" s="3" t="s">
        <v>8</v>
      </c>
      <c r="D64" s="1">
        <v>45042</v>
      </c>
      <c r="E64" s="2">
        <v>163.05999755859301</v>
      </c>
      <c r="F64" s="2">
        <v>165.27999877929599</v>
      </c>
      <c r="G64" s="2">
        <v>162.80000305175699</v>
      </c>
      <c r="H64" s="2">
        <v>163.759994506835</v>
      </c>
      <c r="I64" s="2">
        <v>163.759994506835</v>
      </c>
      <c r="J64" s="2">
        <v>45498800</v>
      </c>
      <c r="K64" s="42">
        <f t="shared" si="4"/>
        <v>162.759994506835</v>
      </c>
      <c r="S64" s="16">
        <f t="shared" si="0"/>
        <v>45042</v>
      </c>
      <c r="T64" s="2">
        <f>I64:I126</f>
        <v>163.759994506835</v>
      </c>
      <c r="U64" s="2">
        <f t="shared" si="1"/>
        <v>321.14999389648398</v>
      </c>
      <c r="V64" s="2">
        <f t="shared" si="2"/>
        <v>295.36999511718699</v>
      </c>
      <c r="W64" s="2">
        <f t="shared" si="3"/>
        <v>104.449996948242</v>
      </c>
    </row>
    <row r="65" spans="2:23">
      <c r="B65" t="s">
        <v>13</v>
      </c>
      <c r="C65" s="3" t="s">
        <v>8</v>
      </c>
      <c r="D65" s="1">
        <v>45043</v>
      </c>
      <c r="E65" s="2">
        <v>165.19000244140599</v>
      </c>
      <c r="F65" s="2">
        <v>168.55999755859301</v>
      </c>
      <c r="G65" s="2">
        <v>165.19000244140599</v>
      </c>
      <c r="H65" s="2">
        <v>168.41000366210901</v>
      </c>
      <c r="I65" s="2">
        <v>168.41000366210901</v>
      </c>
      <c r="J65" s="2">
        <v>64902300</v>
      </c>
      <c r="K65" s="42">
        <f t="shared" si="4"/>
        <v>167.41000366210901</v>
      </c>
      <c r="S65" s="16">
        <f t="shared" si="0"/>
        <v>45043</v>
      </c>
      <c r="T65" s="2">
        <f>I65:I127</f>
        <v>168.41000366210901</v>
      </c>
      <c r="U65" s="2">
        <f t="shared" si="1"/>
        <v>325.850006103515</v>
      </c>
      <c r="V65" s="2">
        <f t="shared" si="2"/>
        <v>304.829986572265</v>
      </c>
      <c r="W65" s="2">
        <f t="shared" si="3"/>
        <v>108.370002746582</v>
      </c>
    </row>
    <row r="66" spans="2:23">
      <c r="B66" t="s">
        <v>13</v>
      </c>
      <c r="C66" s="3" t="s">
        <v>8</v>
      </c>
      <c r="D66" s="1">
        <v>45044</v>
      </c>
      <c r="E66" s="2">
        <v>168.49000549316401</v>
      </c>
      <c r="F66" s="2">
        <v>169.850006103515</v>
      </c>
      <c r="G66" s="2">
        <v>167.88000488281199</v>
      </c>
      <c r="H66" s="2">
        <v>169.67999267578099</v>
      </c>
      <c r="I66" s="2">
        <v>169.67999267578099</v>
      </c>
      <c r="J66" s="2">
        <v>55209200</v>
      </c>
      <c r="K66" s="42">
        <f t="shared" si="4"/>
        <v>168.67999267578099</v>
      </c>
      <c r="S66" s="16">
        <f t="shared" si="0"/>
        <v>45044</v>
      </c>
      <c r="T66" s="2">
        <f>I66:I128</f>
        <v>169.67999267578099</v>
      </c>
      <c r="U66" s="2">
        <f t="shared" si="1"/>
        <v>329.92999267578102</v>
      </c>
      <c r="V66" s="2">
        <f t="shared" si="2"/>
        <v>307.260009765625</v>
      </c>
      <c r="W66" s="2">
        <f t="shared" si="3"/>
        <v>108.220001220703</v>
      </c>
    </row>
    <row r="67" spans="2:23">
      <c r="B67" t="s">
        <v>13</v>
      </c>
      <c r="C67" s="3" t="s">
        <v>8</v>
      </c>
      <c r="D67" s="1">
        <v>45047</v>
      </c>
      <c r="E67" s="2">
        <v>169.27999877929599</v>
      </c>
      <c r="F67" s="2">
        <v>170.44999694824199</v>
      </c>
      <c r="G67" s="2">
        <v>168.63999938964801</v>
      </c>
      <c r="H67" s="2">
        <v>169.58999633789</v>
      </c>
      <c r="I67" s="2">
        <v>169.58999633789</v>
      </c>
      <c r="J67" s="2">
        <v>52472900</v>
      </c>
      <c r="K67" s="42">
        <f t="shared" si="4"/>
        <v>168.58999633789</v>
      </c>
      <c r="S67" s="16">
        <f t="shared" si="0"/>
        <v>45047</v>
      </c>
      <c r="T67" s="2">
        <f>I67:I129</f>
        <v>169.58999633789</v>
      </c>
      <c r="U67" s="2">
        <f t="shared" si="1"/>
        <v>324.11999511718699</v>
      </c>
      <c r="V67" s="2">
        <f t="shared" si="2"/>
        <v>305.55999755859301</v>
      </c>
      <c r="W67" s="2">
        <f t="shared" si="3"/>
        <v>107.709999084472</v>
      </c>
    </row>
    <row r="68" spans="2:23">
      <c r="B68" t="s">
        <v>13</v>
      </c>
      <c r="C68" s="3" t="s">
        <v>8</v>
      </c>
      <c r="D68" s="1">
        <v>45048</v>
      </c>
      <c r="E68" s="2">
        <v>170.08999633789</v>
      </c>
      <c r="F68" s="2">
        <v>170.350006103515</v>
      </c>
      <c r="G68" s="2">
        <v>167.53999328613199</v>
      </c>
      <c r="H68" s="2">
        <v>168.53999328613199</v>
      </c>
      <c r="I68" s="2">
        <v>168.53999328613199</v>
      </c>
      <c r="J68" s="2">
        <v>48425700</v>
      </c>
      <c r="K68" s="42">
        <f t="shared" si="4"/>
        <v>167.53999328613199</v>
      </c>
      <c r="S68" s="16">
        <f t="shared" si="0"/>
        <v>45048</v>
      </c>
      <c r="T68" s="2">
        <f>I68:I130</f>
        <v>168.53999328613199</v>
      </c>
      <c r="U68" s="2">
        <f t="shared" si="1"/>
        <v>317.54998779296801</v>
      </c>
      <c r="V68" s="2">
        <f t="shared" si="2"/>
        <v>305.41000366210898</v>
      </c>
      <c r="W68" s="2">
        <f t="shared" si="3"/>
        <v>105.980003356933</v>
      </c>
    </row>
    <row r="69" spans="2:23">
      <c r="B69" t="s">
        <v>13</v>
      </c>
      <c r="C69" s="3" t="s">
        <v>8</v>
      </c>
      <c r="D69" s="1">
        <v>45049</v>
      </c>
      <c r="E69" s="2">
        <v>169.5</v>
      </c>
      <c r="F69" s="2">
        <v>170.919998168945</v>
      </c>
      <c r="G69" s="2">
        <v>167.16000366210901</v>
      </c>
      <c r="H69" s="2">
        <v>167.44999694824199</v>
      </c>
      <c r="I69" s="2">
        <v>167.44999694824199</v>
      </c>
      <c r="J69" s="2">
        <v>65136000</v>
      </c>
      <c r="K69" s="42">
        <f t="shared" si="4"/>
        <v>166.44999694824199</v>
      </c>
      <c r="S69" s="16">
        <f t="shared" si="0"/>
        <v>45049</v>
      </c>
      <c r="T69" s="2">
        <f>I69:I131</f>
        <v>167.44999694824199</v>
      </c>
      <c r="U69" s="2">
        <f t="shared" si="1"/>
        <v>319.29998779296801</v>
      </c>
      <c r="V69" s="2">
        <f t="shared" si="2"/>
        <v>304.39999389648398</v>
      </c>
      <c r="W69" s="2">
        <f t="shared" si="3"/>
        <v>106.120002746582</v>
      </c>
    </row>
    <row r="70" spans="2:23">
      <c r="B70" t="s">
        <v>13</v>
      </c>
      <c r="C70" s="3" t="s">
        <v>8</v>
      </c>
      <c r="D70" s="1">
        <v>45050</v>
      </c>
      <c r="E70" s="2">
        <v>164.88999938964801</v>
      </c>
      <c r="F70" s="2">
        <v>167.03999328613199</v>
      </c>
      <c r="G70" s="2">
        <v>164.30999755859301</v>
      </c>
      <c r="H70" s="2">
        <v>165.78999328613199</v>
      </c>
      <c r="I70" s="2">
        <v>165.78999328613199</v>
      </c>
      <c r="J70" s="2">
        <v>81235400</v>
      </c>
      <c r="K70" s="42">
        <f t="shared" si="4"/>
        <v>164.78999328613199</v>
      </c>
      <c r="S70" s="16">
        <f t="shared" si="0"/>
        <v>45050</v>
      </c>
      <c r="T70" s="2">
        <f>I70:I132</f>
        <v>165.78999328613199</v>
      </c>
      <c r="U70" s="2">
        <f t="shared" si="1"/>
        <v>320.77999877929602</v>
      </c>
      <c r="V70" s="2">
        <f t="shared" si="2"/>
        <v>305.41000366210898</v>
      </c>
      <c r="W70" s="2">
        <f t="shared" si="3"/>
        <v>105.209999084472</v>
      </c>
    </row>
    <row r="71" spans="2:23">
      <c r="B71" t="s">
        <v>13</v>
      </c>
      <c r="C71" s="3" t="s">
        <v>8</v>
      </c>
      <c r="D71" s="1">
        <v>45051</v>
      </c>
      <c r="E71" s="2">
        <v>170.97999572753901</v>
      </c>
      <c r="F71" s="2">
        <v>174.30000305175699</v>
      </c>
      <c r="G71" s="2">
        <v>170.759994506835</v>
      </c>
      <c r="H71" s="2">
        <v>173.57000732421801</v>
      </c>
      <c r="I71" s="2">
        <v>173.57000732421801</v>
      </c>
      <c r="J71" s="2">
        <v>113316400</v>
      </c>
      <c r="K71" s="42">
        <f t="shared" si="4"/>
        <v>172.57000732421801</v>
      </c>
      <c r="S71" s="16">
        <f t="shared" si="0"/>
        <v>45051</v>
      </c>
      <c r="T71" s="2">
        <f>I71:I133</f>
        <v>173.57000732421801</v>
      </c>
      <c r="U71" s="2">
        <f t="shared" si="1"/>
        <v>322.760009765625</v>
      </c>
      <c r="V71" s="2">
        <f t="shared" si="2"/>
        <v>310.64999389648398</v>
      </c>
      <c r="W71" s="2">
        <f t="shared" si="3"/>
        <v>106.21499633789</v>
      </c>
    </row>
    <row r="72" spans="2:23" s="9" customFormat="1" ht="15.75" thickBot="1">
      <c r="C72" s="38"/>
      <c r="D72" s="39"/>
      <c r="E72" s="37"/>
      <c r="F72" s="37"/>
      <c r="G72" s="37"/>
      <c r="H72" s="37"/>
      <c r="I72" s="37"/>
      <c r="J72" s="37"/>
      <c r="K72" s="37"/>
      <c r="S72" s="40"/>
      <c r="T72" s="37"/>
      <c r="U72" s="37"/>
      <c r="V72" s="37"/>
      <c r="W72" s="37"/>
    </row>
    <row r="73" spans="2:23" ht="16.5">
      <c r="B73" s="43"/>
      <c r="C73" s="45"/>
      <c r="D73" s="46"/>
      <c r="E73" s="47" t="s">
        <v>37</v>
      </c>
      <c r="F73" s="47"/>
      <c r="G73" s="48"/>
      <c r="H73" s="48"/>
      <c r="I73" s="48"/>
      <c r="J73" s="48"/>
      <c r="K73" s="48"/>
    </row>
    <row r="74" spans="2:23" s="9" customFormat="1">
      <c r="B74" s="10" t="str">
        <f>B8</f>
        <v>Comp Name</v>
      </c>
      <c r="C74" s="7" t="str">
        <f>C8</f>
        <v>Ticker</v>
      </c>
      <c r="D74" s="7" t="str">
        <f t="shared" ref="D74:K74" si="5">D8</f>
        <v>Date</v>
      </c>
      <c r="E74" s="7" t="str">
        <f t="shared" si="5"/>
        <v>Open</v>
      </c>
      <c r="F74" s="7" t="str">
        <f t="shared" si="5"/>
        <v>High</v>
      </c>
      <c r="G74" s="7" t="str">
        <f t="shared" si="5"/>
        <v>Low</v>
      </c>
      <c r="H74" s="7" t="str">
        <f t="shared" si="5"/>
        <v>Close</v>
      </c>
      <c r="I74" s="7" t="str">
        <f t="shared" si="5"/>
        <v>Adj Close</v>
      </c>
      <c r="J74" s="7" t="str">
        <f t="shared" si="5"/>
        <v>Volume</v>
      </c>
      <c r="K74" s="7" t="str">
        <f t="shared" si="5"/>
        <v>Daily returns</v>
      </c>
      <c r="N74" s="30" t="s">
        <v>19</v>
      </c>
      <c r="O74" s="30"/>
      <c r="P74" s="30"/>
      <c r="S74" s="17"/>
    </row>
    <row r="75" spans="2:23">
      <c r="B75" s="9"/>
      <c r="C75" s="8"/>
      <c r="D75" s="8"/>
      <c r="E75" s="8"/>
      <c r="F75" s="8"/>
      <c r="G75" s="8"/>
      <c r="H75" s="8"/>
      <c r="I75" s="8"/>
      <c r="J75" s="8"/>
      <c r="K75" s="8"/>
    </row>
    <row r="76" spans="2:23">
      <c r="B76" t="s">
        <v>15</v>
      </c>
      <c r="C76" s="3" t="s">
        <v>9</v>
      </c>
      <c r="D76" s="1">
        <v>44964</v>
      </c>
      <c r="E76" s="2">
        <v>260.52999877929602</v>
      </c>
      <c r="F76" s="2">
        <v>268.76998901367102</v>
      </c>
      <c r="G76" s="2">
        <v>260.079986572265</v>
      </c>
      <c r="H76" s="2">
        <v>267.55999755859301</v>
      </c>
      <c r="I76" s="2">
        <v>266.891510009765</v>
      </c>
      <c r="J76" s="2">
        <v>50841400</v>
      </c>
      <c r="K76" s="42"/>
    </row>
    <row r="77" spans="2:23">
      <c r="B77" t="s">
        <v>15</v>
      </c>
      <c r="C77" s="3" t="s">
        <v>9</v>
      </c>
      <c r="D77" s="1">
        <v>44965</v>
      </c>
      <c r="E77" s="2">
        <v>273.20001220703102</v>
      </c>
      <c r="F77" s="2">
        <v>276.760009765625</v>
      </c>
      <c r="G77" s="2">
        <v>266.20999145507801</v>
      </c>
      <c r="H77" s="2">
        <v>266.73001098632801</v>
      </c>
      <c r="I77" s="2">
        <v>266.06359863281199</v>
      </c>
      <c r="J77" s="2">
        <v>54686000</v>
      </c>
      <c r="K77" s="42">
        <f>I77-I76/I76</f>
        <v>265.06359863281199</v>
      </c>
    </row>
    <row r="78" spans="2:23">
      <c r="B78" t="s">
        <v>15</v>
      </c>
      <c r="C78" s="3" t="s">
        <v>9</v>
      </c>
      <c r="D78" s="1">
        <v>44966</v>
      </c>
      <c r="E78" s="2">
        <v>273.79998779296801</v>
      </c>
      <c r="F78" s="2">
        <v>273.98001098632801</v>
      </c>
      <c r="G78" s="2">
        <v>262.79998779296801</v>
      </c>
      <c r="H78" s="2">
        <v>263.61999511718699</v>
      </c>
      <c r="I78" s="2">
        <v>262.96136474609301</v>
      </c>
      <c r="J78" s="2">
        <v>42375100</v>
      </c>
      <c r="K78" s="42">
        <f t="shared" ref="K78:K137" si="6">I78-I77/I77</f>
        <v>261.96136474609301</v>
      </c>
    </row>
    <row r="79" spans="2:23">
      <c r="B79" t="s">
        <v>15</v>
      </c>
      <c r="C79" s="3" t="s">
        <v>9</v>
      </c>
      <c r="D79" s="1">
        <v>44967</v>
      </c>
      <c r="E79" s="2">
        <v>261.52999877929602</v>
      </c>
      <c r="F79" s="2">
        <v>264.08999633789</v>
      </c>
      <c r="G79" s="2">
        <v>260.66000366210898</v>
      </c>
      <c r="H79" s="2">
        <v>263.100006103515</v>
      </c>
      <c r="I79" s="2">
        <v>262.44265747070301</v>
      </c>
      <c r="J79" s="2">
        <v>25818500</v>
      </c>
      <c r="K79" s="42">
        <f t="shared" si="6"/>
        <v>261.44265747070301</v>
      </c>
    </row>
    <row r="80" spans="2:23">
      <c r="B80" t="s">
        <v>15</v>
      </c>
      <c r="C80" s="3" t="s">
        <v>9</v>
      </c>
      <c r="D80" s="1">
        <v>44970</v>
      </c>
      <c r="E80" s="2">
        <v>267.64001464843699</v>
      </c>
      <c r="F80" s="2">
        <v>274.600006103515</v>
      </c>
      <c r="G80" s="2">
        <v>267.14999389648398</v>
      </c>
      <c r="H80" s="2">
        <v>271.32000732421801</v>
      </c>
      <c r="I80" s="2">
        <v>270.64212036132801</v>
      </c>
      <c r="J80" s="2">
        <v>44630900</v>
      </c>
      <c r="K80" s="42">
        <f t="shared" si="6"/>
        <v>269.64212036132801</v>
      </c>
    </row>
    <row r="81" spans="2:16">
      <c r="B81" t="s">
        <v>15</v>
      </c>
      <c r="C81" s="3" t="s">
        <v>9</v>
      </c>
      <c r="D81" s="1">
        <v>44971</v>
      </c>
      <c r="E81" s="2">
        <v>272.67001342773398</v>
      </c>
      <c r="F81" s="2">
        <v>274.97000122070301</v>
      </c>
      <c r="G81" s="2">
        <v>269.27999877929602</v>
      </c>
      <c r="H81" s="2">
        <v>272.17001342773398</v>
      </c>
      <c r="I81" s="2">
        <v>271.49002075195301</v>
      </c>
      <c r="J81" s="2">
        <v>37047900</v>
      </c>
      <c r="K81" s="42">
        <f t="shared" si="6"/>
        <v>270.49002075195301</v>
      </c>
    </row>
    <row r="82" spans="2:16">
      <c r="B82" t="s">
        <v>15</v>
      </c>
      <c r="C82" s="3" t="s">
        <v>9</v>
      </c>
      <c r="D82" s="1">
        <v>44972</v>
      </c>
      <c r="E82" s="2">
        <v>268.32000732421801</v>
      </c>
      <c r="F82" s="2">
        <v>270.73001098632801</v>
      </c>
      <c r="G82" s="2">
        <v>266.17999267578102</v>
      </c>
      <c r="H82" s="2">
        <v>269.32000732421801</v>
      </c>
      <c r="I82" s="2">
        <v>269.32000732421801</v>
      </c>
      <c r="J82" s="2">
        <v>28922400</v>
      </c>
      <c r="K82" s="42">
        <f t="shared" si="6"/>
        <v>268.32000732421801</v>
      </c>
    </row>
    <row r="83" spans="2:16">
      <c r="B83" t="s">
        <v>15</v>
      </c>
      <c r="C83" s="3" t="s">
        <v>9</v>
      </c>
      <c r="D83" s="1">
        <v>44973</v>
      </c>
      <c r="E83" s="2">
        <v>264.01998901367102</v>
      </c>
      <c r="F83" s="2">
        <v>266.739990234375</v>
      </c>
      <c r="G83" s="2">
        <v>261.89999389648398</v>
      </c>
      <c r="H83" s="2">
        <v>262.14999389648398</v>
      </c>
      <c r="I83" s="2">
        <v>262.14999389648398</v>
      </c>
      <c r="J83" s="2">
        <v>29603600</v>
      </c>
      <c r="K83" s="42">
        <f t="shared" si="6"/>
        <v>261.14999389648398</v>
      </c>
    </row>
    <row r="84" spans="2:16">
      <c r="B84" t="s">
        <v>15</v>
      </c>
      <c r="C84" s="3" t="s">
        <v>9</v>
      </c>
      <c r="D84" s="1">
        <v>44974</v>
      </c>
      <c r="E84" s="2">
        <v>259.39001464843699</v>
      </c>
      <c r="F84" s="2">
        <v>260.08999633789</v>
      </c>
      <c r="G84" s="2">
        <v>256</v>
      </c>
      <c r="H84" s="2">
        <v>258.05999755859301</v>
      </c>
      <c r="I84" s="2">
        <v>258.05999755859301</v>
      </c>
      <c r="J84" s="2">
        <v>30000100</v>
      </c>
      <c r="K84" s="42">
        <f t="shared" si="6"/>
        <v>257.05999755859301</v>
      </c>
    </row>
    <row r="85" spans="2:16">
      <c r="B85" t="s">
        <v>15</v>
      </c>
      <c r="C85" s="3" t="s">
        <v>9</v>
      </c>
      <c r="D85" s="1">
        <v>44978</v>
      </c>
      <c r="E85" s="2">
        <v>254.47999572753901</v>
      </c>
      <c r="F85" s="2">
        <v>255.49000549316401</v>
      </c>
      <c r="G85" s="2">
        <v>251.58999633789</v>
      </c>
      <c r="H85" s="2">
        <v>252.669998168945</v>
      </c>
      <c r="I85" s="2">
        <v>252.669998168945</v>
      </c>
      <c r="J85" s="2">
        <v>28397400</v>
      </c>
      <c r="K85" s="42">
        <f t="shared" si="6"/>
        <v>251.669998168945</v>
      </c>
    </row>
    <row r="86" spans="2:16">
      <c r="B86" t="s">
        <v>15</v>
      </c>
      <c r="C86" s="3" t="s">
        <v>9</v>
      </c>
      <c r="D86" s="1">
        <v>44979</v>
      </c>
      <c r="E86" s="2">
        <v>254.08999633789</v>
      </c>
      <c r="F86" s="2">
        <v>254.33999633789</v>
      </c>
      <c r="G86" s="2">
        <v>250.33999633789</v>
      </c>
      <c r="H86" s="2">
        <v>251.509994506835</v>
      </c>
      <c r="I86" s="2">
        <v>251.509994506835</v>
      </c>
      <c r="J86" s="2">
        <v>22491100</v>
      </c>
      <c r="K86" s="42">
        <f t="shared" si="6"/>
        <v>250.509994506835</v>
      </c>
    </row>
    <row r="87" spans="2:16">
      <c r="B87" t="s">
        <v>15</v>
      </c>
      <c r="C87" s="3" t="s">
        <v>9</v>
      </c>
      <c r="D87" s="1">
        <v>44980</v>
      </c>
      <c r="E87" s="2">
        <v>255.55999755859301</v>
      </c>
      <c r="F87" s="2">
        <v>256.83999633789</v>
      </c>
      <c r="G87" s="2">
        <v>250.47999572753901</v>
      </c>
      <c r="H87" s="2">
        <v>254.77000427246</v>
      </c>
      <c r="I87" s="2">
        <v>254.77000427246</v>
      </c>
      <c r="J87" s="2">
        <v>29219100</v>
      </c>
      <c r="K87" s="42">
        <f t="shared" si="6"/>
        <v>253.77000427246</v>
      </c>
    </row>
    <row r="88" spans="2:16">
      <c r="B88" t="s">
        <v>15</v>
      </c>
      <c r="C88" s="3" t="s">
        <v>9</v>
      </c>
      <c r="D88" s="1">
        <v>44981</v>
      </c>
      <c r="E88" s="2">
        <v>249.96000671386699</v>
      </c>
      <c r="F88" s="2">
        <v>251</v>
      </c>
      <c r="G88" s="2">
        <v>248.100006103515</v>
      </c>
      <c r="H88" s="2">
        <v>249.22000122070301</v>
      </c>
      <c r="I88" s="2">
        <v>249.22000122070301</v>
      </c>
      <c r="J88" s="2">
        <v>24990900</v>
      </c>
      <c r="K88" s="42">
        <f t="shared" si="6"/>
        <v>248.22000122070301</v>
      </c>
    </row>
    <row r="89" spans="2:16">
      <c r="B89" t="s">
        <v>15</v>
      </c>
      <c r="C89" s="3" t="s">
        <v>9</v>
      </c>
      <c r="D89" s="1">
        <v>44984</v>
      </c>
      <c r="E89" s="2">
        <v>252.46000671386699</v>
      </c>
      <c r="F89" s="2">
        <v>252.82000732421801</v>
      </c>
      <c r="G89" s="2">
        <v>249.38999938964801</v>
      </c>
      <c r="H89" s="2">
        <v>250.16000366210901</v>
      </c>
      <c r="I89" s="2">
        <v>250.16000366210901</v>
      </c>
      <c r="J89" s="2">
        <v>21190000</v>
      </c>
      <c r="K89" s="42">
        <f t="shared" si="6"/>
        <v>249.16000366210901</v>
      </c>
    </row>
    <row r="90" spans="2:16">
      <c r="B90" t="s">
        <v>15</v>
      </c>
      <c r="C90" s="3" t="s">
        <v>9</v>
      </c>
      <c r="D90" s="1">
        <v>44985</v>
      </c>
      <c r="E90" s="2">
        <v>249.07000732421801</v>
      </c>
      <c r="F90" s="2">
        <v>251.49000549316401</v>
      </c>
      <c r="G90" s="2">
        <v>248.72999572753901</v>
      </c>
      <c r="H90" s="2">
        <v>249.419998168945</v>
      </c>
      <c r="I90" s="2">
        <v>249.419998168945</v>
      </c>
      <c r="J90" s="2">
        <v>22491000</v>
      </c>
      <c r="K90" s="42">
        <f t="shared" si="6"/>
        <v>248.419998168945</v>
      </c>
    </row>
    <row r="91" spans="2:16">
      <c r="B91" t="s">
        <v>15</v>
      </c>
      <c r="C91" s="3" t="s">
        <v>9</v>
      </c>
      <c r="D91" s="1">
        <v>44986</v>
      </c>
      <c r="E91" s="2">
        <v>250.759994506835</v>
      </c>
      <c r="F91" s="2">
        <v>250.92999267578099</v>
      </c>
      <c r="G91" s="2">
        <v>245.78999328613199</v>
      </c>
      <c r="H91" s="2">
        <v>246.27000427246</v>
      </c>
      <c r="I91" s="2">
        <v>246.27000427246</v>
      </c>
      <c r="J91" s="2">
        <v>27565300</v>
      </c>
      <c r="K91" s="42">
        <f t="shared" si="6"/>
        <v>245.27000427246</v>
      </c>
    </row>
    <row r="92" spans="2:16">
      <c r="B92" t="s">
        <v>15</v>
      </c>
      <c r="C92" s="3" t="s">
        <v>9</v>
      </c>
      <c r="D92" s="1">
        <v>44987</v>
      </c>
      <c r="E92" s="2">
        <v>246.55000305175699</v>
      </c>
      <c r="F92" s="2">
        <v>251.39999389648401</v>
      </c>
      <c r="G92" s="2">
        <v>245.61000061035099</v>
      </c>
      <c r="H92" s="2">
        <v>251.11000061035099</v>
      </c>
      <c r="I92" s="2">
        <v>251.11000061035099</v>
      </c>
      <c r="J92" s="2">
        <v>24808200</v>
      </c>
      <c r="K92" s="42">
        <f t="shared" si="6"/>
        <v>250.11000061035099</v>
      </c>
    </row>
    <row r="93" spans="2:16">
      <c r="B93" t="s">
        <v>15</v>
      </c>
      <c r="C93" s="3" t="s">
        <v>9</v>
      </c>
      <c r="D93" s="1">
        <v>44988</v>
      </c>
      <c r="E93" s="2">
        <v>252.19000244140599</v>
      </c>
      <c r="F93" s="2">
        <v>255.61999511718699</v>
      </c>
      <c r="G93" s="2">
        <v>251.38999938964801</v>
      </c>
      <c r="H93" s="2">
        <v>255.28999328613199</v>
      </c>
      <c r="I93" s="2">
        <v>255.28999328613199</v>
      </c>
      <c r="J93" s="2">
        <v>30760100</v>
      </c>
      <c r="K93" s="42">
        <f t="shared" si="6"/>
        <v>254.28999328613199</v>
      </c>
      <c r="N93" s="29" t="s">
        <v>32</v>
      </c>
      <c r="O93" s="29"/>
      <c r="P93" s="29"/>
    </row>
    <row r="94" spans="2:16">
      <c r="B94" t="s">
        <v>15</v>
      </c>
      <c r="C94" s="3" t="s">
        <v>9</v>
      </c>
      <c r="D94" s="1">
        <v>44991</v>
      </c>
      <c r="E94" s="2">
        <v>256.42999267578102</v>
      </c>
      <c r="F94" s="2">
        <v>260.11999511718699</v>
      </c>
      <c r="G94" s="2">
        <v>255.97999572753901</v>
      </c>
      <c r="H94" s="2">
        <v>256.86999511718699</v>
      </c>
      <c r="I94" s="2">
        <v>256.86999511718699</v>
      </c>
      <c r="J94" s="2">
        <v>24109800</v>
      </c>
      <c r="K94" s="42">
        <f t="shared" si="6"/>
        <v>255.86999511718699</v>
      </c>
    </row>
    <row r="95" spans="2:16">
      <c r="B95" t="s">
        <v>15</v>
      </c>
      <c r="C95" s="3" t="s">
        <v>9</v>
      </c>
      <c r="D95" s="1">
        <v>44992</v>
      </c>
      <c r="E95" s="2">
        <v>256.29998779296801</v>
      </c>
      <c r="F95" s="2">
        <v>257.69000244140602</v>
      </c>
      <c r="G95" s="2">
        <v>253.38999938964801</v>
      </c>
      <c r="H95" s="2">
        <v>254.14999389648401</v>
      </c>
      <c r="I95" s="2">
        <v>254.14999389648401</v>
      </c>
      <c r="J95" s="2">
        <v>21473200</v>
      </c>
      <c r="K95" s="42">
        <f t="shared" si="6"/>
        <v>253.14999389648401</v>
      </c>
    </row>
    <row r="96" spans="2:16">
      <c r="B96" t="s">
        <v>15</v>
      </c>
      <c r="C96" s="3" t="s">
        <v>9</v>
      </c>
      <c r="D96" s="1">
        <v>44993</v>
      </c>
      <c r="E96" s="2">
        <v>254.03999328613199</v>
      </c>
      <c r="F96" s="2">
        <v>254.53999328613199</v>
      </c>
      <c r="G96" s="2">
        <v>250.80999755859301</v>
      </c>
      <c r="H96" s="2">
        <v>253.69999694824199</v>
      </c>
      <c r="I96" s="2">
        <v>253.69999694824199</v>
      </c>
      <c r="J96" s="2">
        <v>17340200</v>
      </c>
      <c r="K96" s="42">
        <f t="shared" si="6"/>
        <v>252.69999694824199</v>
      </c>
    </row>
    <row r="97" spans="2:16">
      <c r="B97" t="s">
        <v>15</v>
      </c>
      <c r="C97" s="3" t="s">
        <v>9</v>
      </c>
      <c r="D97" s="1">
        <v>44994</v>
      </c>
      <c r="E97" s="2">
        <v>255.82000732421801</v>
      </c>
      <c r="F97" s="2">
        <v>259.55999755859301</v>
      </c>
      <c r="G97" s="2">
        <v>251.58000183105401</v>
      </c>
      <c r="H97" s="2">
        <v>252.32000732421801</v>
      </c>
      <c r="I97" s="2">
        <v>252.32000732421801</v>
      </c>
      <c r="J97" s="2">
        <v>26653400</v>
      </c>
      <c r="K97" s="42">
        <f t="shared" si="6"/>
        <v>251.32000732421801</v>
      </c>
    </row>
    <row r="98" spans="2:16">
      <c r="B98" t="s">
        <v>15</v>
      </c>
      <c r="C98" s="3" t="s">
        <v>9</v>
      </c>
      <c r="D98" s="1">
        <v>44995</v>
      </c>
      <c r="E98" s="2">
        <v>251.08000183105401</v>
      </c>
      <c r="F98" s="2">
        <v>252.78999328613199</v>
      </c>
      <c r="G98" s="2">
        <v>247.600006103515</v>
      </c>
      <c r="H98" s="2">
        <v>248.58999633789</v>
      </c>
      <c r="I98" s="2">
        <v>248.58999633789</v>
      </c>
      <c r="J98" s="2">
        <v>28333900</v>
      </c>
      <c r="K98" s="42">
        <f t="shared" si="6"/>
        <v>247.58999633789</v>
      </c>
    </row>
    <row r="99" spans="2:16">
      <c r="B99" t="s">
        <v>15</v>
      </c>
      <c r="C99" s="3" t="s">
        <v>9</v>
      </c>
      <c r="D99" s="1">
        <v>44998</v>
      </c>
      <c r="E99" s="2">
        <v>247.39999389648401</v>
      </c>
      <c r="F99" s="2">
        <v>257.91000366210898</v>
      </c>
      <c r="G99" s="2">
        <v>245.72999572753901</v>
      </c>
      <c r="H99" s="2">
        <v>253.919998168945</v>
      </c>
      <c r="I99" s="2">
        <v>253.919998168945</v>
      </c>
      <c r="J99" s="2">
        <v>33339700</v>
      </c>
      <c r="K99" s="42">
        <f t="shared" si="6"/>
        <v>252.919998168945</v>
      </c>
    </row>
    <row r="100" spans="2:16">
      <c r="B100" t="s">
        <v>15</v>
      </c>
      <c r="C100" s="3" t="s">
        <v>9</v>
      </c>
      <c r="D100" s="1">
        <v>44999</v>
      </c>
      <c r="E100" s="2">
        <v>256.75</v>
      </c>
      <c r="F100" s="2">
        <v>261.07000732421801</v>
      </c>
      <c r="G100" s="2">
        <v>255.86000061035099</v>
      </c>
      <c r="H100" s="2">
        <v>260.79000854492102</v>
      </c>
      <c r="I100" s="2">
        <v>260.79000854492102</v>
      </c>
      <c r="J100" s="2">
        <v>33620300</v>
      </c>
      <c r="K100" s="42">
        <f t="shared" si="6"/>
        <v>259.79000854492102</v>
      </c>
    </row>
    <row r="101" spans="2:16">
      <c r="B101" t="s">
        <v>15</v>
      </c>
      <c r="C101" s="3" t="s">
        <v>9</v>
      </c>
      <c r="D101" s="1">
        <v>45000</v>
      </c>
      <c r="E101" s="2">
        <v>259.98001098632801</v>
      </c>
      <c r="F101" s="2">
        <v>266.48001098632801</v>
      </c>
      <c r="G101" s="2">
        <v>259.20999145507801</v>
      </c>
      <c r="H101" s="2">
        <v>265.44000244140602</v>
      </c>
      <c r="I101" s="2">
        <v>265.44000244140602</v>
      </c>
      <c r="J101" s="2">
        <v>46028000</v>
      </c>
      <c r="K101" s="42">
        <f t="shared" si="6"/>
        <v>264.44000244140602</v>
      </c>
    </row>
    <row r="102" spans="2:16">
      <c r="B102" t="s">
        <v>15</v>
      </c>
      <c r="C102" s="3" t="s">
        <v>9</v>
      </c>
      <c r="D102" s="1">
        <v>45001</v>
      </c>
      <c r="E102" s="2">
        <v>265.20999145507801</v>
      </c>
      <c r="F102" s="2">
        <v>276.55999755859301</v>
      </c>
      <c r="G102" s="2">
        <v>263.27999877929602</v>
      </c>
      <c r="H102" s="2">
        <v>276.20001220703102</v>
      </c>
      <c r="I102" s="2">
        <v>276.20001220703102</v>
      </c>
      <c r="J102" s="2">
        <v>54768800</v>
      </c>
      <c r="K102" s="42">
        <f t="shared" si="6"/>
        <v>275.20001220703102</v>
      </c>
    </row>
    <row r="103" spans="2:16">
      <c r="B103" t="s">
        <v>15</v>
      </c>
      <c r="C103" s="3" t="s">
        <v>9</v>
      </c>
      <c r="D103" s="1">
        <v>45002</v>
      </c>
      <c r="E103" s="2">
        <v>278.260009765625</v>
      </c>
      <c r="F103" s="2">
        <v>283.329986572265</v>
      </c>
      <c r="G103" s="2">
        <v>276.32000732421801</v>
      </c>
      <c r="H103" s="2">
        <v>279.42999267578102</v>
      </c>
      <c r="I103" s="2">
        <v>279.42999267578102</v>
      </c>
      <c r="J103" s="2">
        <v>69527400</v>
      </c>
      <c r="K103" s="42">
        <f t="shared" si="6"/>
        <v>278.42999267578102</v>
      </c>
    </row>
    <row r="104" spans="2:16">
      <c r="B104" t="s">
        <v>15</v>
      </c>
      <c r="C104" s="3" t="s">
        <v>9</v>
      </c>
      <c r="D104" s="1">
        <v>45005</v>
      </c>
      <c r="E104" s="2">
        <v>276.98001098632801</v>
      </c>
      <c r="F104" s="2">
        <v>277.48001098632801</v>
      </c>
      <c r="G104" s="2">
        <v>269.850006103515</v>
      </c>
      <c r="H104" s="2">
        <v>272.23001098632801</v>
      </c>
      <c r="I104" s="2">
        <v>272.23001098632801</v>
      </c>
      <c r="J104" s="2">
        <v>43466600</v>
      </c>
      <c r="K104" s="42">
        <f t="shared" si="6"/>
        <v>271.23001098632801</v>
      </c>
    </row>
    <row r="105" spans="2:16">
      <c r="B105" t="s">
        <v>15</v>
      </c>
      <c r="C105" s="3" t="s">
        <v>9</v>
      </c>
      <c r="D105" s="1">
        <v>45006</v>
      </c>
      <c r="E105" s="2">
        <v>274.88000488281199</v>
      </c>
      <c r="F105" s="2">
        <v>275</v>
      </c>
      <c r="G105" s="2">
        <v>269.51998901367102</v>
      </c>
      <c r="H105" s="2">
        <v>273.77999877929602</v>
      </c>
      <c r="I105" s="2">
        <v>273.77999877929602</v>
      </c>
      <c r="J105" s="2">
        <v>34558700</v>
      </c>
      <c r="K105" s="42">
        <f t="shared" si="6"/>
        <v>272.77999877929602</v>
      </c>
    </row>
    <row r="106" spans="2:16">
      <c r="B106" t="s">
        <v>15</v>
      </c>
      <c r="C106" s="3" t="s">
        <v>9</v>
      </c>
      <c r="D106" s="1">
        <v>45007</v>
      </c>
      <c r="E106" s="2">
        <v>273.39999389648398</v>
      </c>
      <c r="F106" s="2">
        <v>281.04000854492102</v>
      </c>
      <c r="G106" s="2">
        <v>272.17999267578102</v>
      </c>
      <c r="H106" s="2">
        <v>272.29000854492102</v>
      </c>
      <c r="I106" s="2">
        <v>272.29000854492102</v>
      </c>
      <c r="J106" s="2">
        <v>34873300</v>
      </c>
      <c r="K106" s="42">
        <f t="shared" si="6"/>
        <v>271.29000854492102</v>
      </c>
    </row>
    <row r="107" spans="2:16">
      <c r="B107" t="s">
        <v>15</v>
      </c>
      <c r="C107" s="3" t="s">
        <v>9</v>
      </c>
      <c r="D107" s="1">
        <v>45008</v>
      </c>
      <c r="E107" s="2">
        <v>277.94000244140602</v>
      </c>
      <c r="F107" s="2">
        <v>281.05999755859301</v>
      </c>
      <c r="G107" s="2">
        <v>275.20001220703102</v>
      </c>
      <c r="H107" s="2">
        <v>277.66000366210898</v>
      </c>
      <c r="I107" s="2">
        <v>277.66000366210898</v>
      </c>
      <c r="J107" s="2">
        <v>36610900</v>
      </c>
      <c r="K107" s="42">
        <f t="shared" si="6"/>
        <v>276.66000366210898</v>
      </c>
    </row>
    <row r="108" spans="2:16">
      <c r="B108" t="s">
        <v>15</v>
      </c>
      <c r="C108" s="3" t="s">
        <v>9</v>
      </c>
      <c r="D108" s="1">
        <v>45009</v>
      </c>
      <c r="E108" s="2">
        <v>277.239990234375</v>
      </c>
      <c r="F108" s="2">
        <v>280.63000488281199</v>
      </c>
      <c r="G108" s="2">
        <v>275.27999877929602</v>
      </c>
      <c r="H108" s="2">
        <v>280.57000732421801</v>
      </c>
      <c r="I108" s="2">
        <v>280.57000732421801</v>
      </c>
      <c r="J108" s="2">
        <v>28172000</v>
      </c>
      <c r="K108" s="42">
        <f t="shared" si="6"/>
        <v>279.57000732421801</v>
      </c>
    </row>
    <row r="109" spans="2:16">
      <c r="B109" t="s">
        <v>15</v>
      </c>
      <c r="C109" s="3" t="s">
        <v>9</v>
      </c>
      <c r="D109" s="1">
        <v>45012</v>
      </c>
      <c r="E109" s="2">
        <v>280.5</v>
      </c>
      <c r="F109" s="2">
        <v>281.45999145507801</v>
      </c>
      <c r="G109" s="2">
        <v>275.51998901367102</v>
      </c>
      <c r="H109" s="2">
        <v>276.38000488281199</v>
      </c>
      <c r="I109" s="2">
        <v>276.38000488281199</v>
      </c>
      <c r="J109" s="2">
        <v>26840200</v>
      </c>
      <c r="K109" s="42">
        <f t="shared" si="6"/>
        <v>275.38000488281199</v>
      </c>
    </row>
    <row r="110" spans="2:16">
      <c r="B110" t="s">
        <v>15</v>
      </c>
      <c r="C110" s="3" t="s">
        <v>9</v>
      </c>
      <c r="D110" s="1">
        <v>45013</v>
      </c>
      <c r="E110" s="2">
        <v>275.79000854492102</v>
      </c>
      <c r="F110" s="2">
        <v>276.14001464843699</v>
      </c>
      <c r="G110" s="2">
        <v>272.04998779296801</v>
      </c>
      <c r="H110" s="2">
        <v>275.23001098632801</v>
      </c>
      <c r="I110" s="2">
        <v>275.23001098632801</v>
      </c>
      <c r="J110" s="2">
        <v>21878600</v>
      </c>
      <c r="K110" s="42">
        <f t="shared" si="6"/>
        <v>274.23001098632801</v>
      </c>
    </row>
    <row r="111" spans="2:16">
      <c r="B111" t="s">
        <v>15</v>
      </c>
      <c r="C111" s="3" t="s">
        <v>9</v>
      </c>
      <c r="D111" s="1">
        <v>45014</v>
      </c>
      <c r="E111" s="2">
        <v>278.95999145507801</v>
      </c>
      <c r="F111" s="2">
        <v>281.14001464843699</v>
      </c>
      <c r="G111" s="2">
        <v>278.41000366210898</v>
      </c>
      <c r="H111" s="2">
        <v>280.510009765625</v>
      </c>
      <c r="I111" s="2">
        <v>280.510009765625</v>
      </c>
      <c r="J111" s="2">
        <v>25087000</v>
      </c>
      <c r="K111" s="42">
        <f t="shared" si="6"/>
        <v>279.510009765625</v>
      </c>
    </row>
    <row r="112" spans="2:16">
      <c r="B112" t="s">
        <v>15</v>
      </c>
      <c r="C112" s="3" t="s">
        <v>9</v>
      </c>
      <c r="D112" s="1">
        <v>45015</v>
      </c>
      <c r="E112" s="2">
        <v>284.23001098632801</v>
      </c>
      <c r="F112" s="2">
        <v>284.45999145507801</v>
      </c>
      <c r="G112" s="2">
        <v>281.48001098632801</v>
      </c>
      <c r="H112" s="2">
        <v>284.04998779296801</v>
      </c>
      <c r="I112" s="2">
        <v>284.04998779296801</v>
      </c>
      <c r="J112" s="2">
        <v>25053400</v>
      </c>
      <c r="K112" s="42">
        <f t="shared" si="6"/>
        <v>283.04998779296801</v>
      </c>
      <c r="N112" s="30" t="s">
        <v>39</v>
      </c>
      <c r="O112" s="30"/>
      <c r="P112" s="30"/>
    </row>
    <row r="113" spans="2:11">
      <c r="B113" t="s">
        <v>15</v>
      </c>
      <c r="C113" s="3" t="s">
        <v>9</v>
      </c>
      <c r="D113" s="1">
        <v>45016</v>
      </c>
      <c r="E113" s="2">
        <v>283.73001098632801</v>
      </c>
      <c r="F113" s="2">
        <v>289.26998901367102</v>
      </c>
      <c r="G113" s="2">
        <v>283</v>
      </c>
      <c r="H113" s="2">
        <v>288.29998779296801</v>
      </c>
      <c r="I113" s="2">
        <v>288.29998779296801</v>
      </c>
      <c r="J113" s="2">
        <v>32766000</v>
      </c>
      <c r="K113" s="42">
        <f t="shared" si="6"/>
        <v>287.29998779296801</v>
      </c>
    </row>
    <row r="114" spans="2:11">
      <c r="B114" t="s">
        <v>15</v>
      </c>
      <c r="C114" s="3" t="s">
        <v>9</v>
      </c>
      <c r="D114" s="1">
        <v>45019</v>
      </c>
      <c r="E114" s="2">
        <v>286.51998901367102</v>
      </c>
      <c r="F114" s="2">
        <v>288.26998901367102</v>
      </c>
      <c r="G114" s="2">
        <v>283.95001220703102</v>
      </c>
      <c r="H114" s="2">
        <v>287.23001098632801</v>
      </c>
      <c r="I114" s="2">
        <v>287.23001098632801</v>
      </c>
      <c r="J114" s="2">
        <v>24883300</v>
      </c>
      <c r="K114" s="42">
        <f t="shared" si="6"/>
        <v>286.23001098632801</v>
      </c>
    </row>
    <row r="115" spans="2:11">
      <c r="B115" t="s">
        <v>15</v>
      </c>
      <c r="C115" s="3" t="s">
        <v>9</v>
      </c>
      <c r="D115" s="1">
        <v>45020</v>
      </c>
      <c r="E115" s="2">
        <v>287.23001098632801</v>
      </c>
      <c r="F115" s="2">
        <v>290.45001220703102</v>
      </c>
      <c r="G115" s="2">
        <v>285.67001342773398</v>
      </c>
      <c r="H115" s="2">
        <v>287.17999267578102</v>
      </c>
      <c r="I115" s="2">
        <v>287.17999267578102</v>
      </c>
      <c r="J115" s="2">
        <v>25824300</v>
      </c>
      <c r="K115" s="42">
        <f t="shared" si="6"/>
        <v>286.17999267578102</v>
      </c>
    </row>
    <row r="116" spans="2:11">
      <c r="B116" t="s">
        <v>15</v>
      </c>
      <c r="C116" s="3" t="s">
        <v>9</v>
      </c>
      <c r="D116" s="1">
        <v>45021</v>
      </c>
      <c r="E116" s="2">
        <v>285.850006103515</v>
      </c>
      <c r="F116" s="2">
        <v>287.14999389648398</v>
      </c>
      <c r="G116" s="2">
        <v>282.92001342773398</v>
      </c>
      <c r="H116" s="2">
        <v>284.33999633789</v>
      </c>
      <c r="I116" s="2">
        <v>284.33999633789</v>
      </c>
      <c r="J116" s="2">
        <v>22064800</v>
      </c>
      <c r="K116" s="42">
        <f t="shared" si="6"/>
        <v>283.33999633789</v>
      </c>
    </row>
    <row r="117" spans="2:11">
      <c r="B117" t="s">
        <v>15</v>
      </c>
      <c r="C117" s="3" t="s">
        <v>9</v>
      </c>
      <c r="D117" s="1">
        <v>45022</v>
      </c>
      <c r="E117" s="2">
        <v>283.20999145507801</v>
      </c>
      <c r="F117" s="2">
        <v>292.079986572265</v>
      </c>
      <c r="G117" s="2">
        <v>282.02999877929602</v>
      </c>
      <c r="H117" s="2">
        <v>291.600006103515</v>
      </c>
      <c r="I117" s="2">
        <v>291.600006103515</v>
      </c>
      <c r="J117" s="2">
        <v>29770300</v>
      </c>
      <c r="K117" s="42">
        <f t="shared" si="6"/>
        <v>290.600006103515</v>
      </c>
    </row>
    <row r="118" spans="2:11">
      <c r="B118" t="s">
        <v>15</v>
      </c>
      <c r="C118" s="3" t="s">
        <v>9</v>
      </c>
      <c r="D118" s="1">
        <v>45026</v>
      </c>
      <c r="E118" s="2">
        <v>289.20999145507801</v>
      </c>
      <c r="F118" s="2">
        <v>289.600006103515</v>
      </c>
      <c r="G118" s="2">
        <v>284.70999145507801</v>
      </c>
      <c r="H118" s="2">
        <v>289.39001464843699</v>
      </c>
      <c r="I118" s="2">
        <v>289.39001464843699</v>
      </c>
      <c r="J118" s="2">
        <v>23103000</v>
      </c>
      <c r="K118" s="42">
        <f t="shared" si="6"/>
        <v>288.39001464843699</v>
      </c>
    </row>
    <row r="119" spans="2:11">
      <c r="B119" t="s">
        <v>15</v>
      </c>
      <c r="C119" s="3" t="s">
        <v>9</v>
      </c>
      <c r="D119" s="1">
        <v>45027</v>
      </c>
      <c r="E119" s="2">
        <v>285.75</v>
      </c>
      <c r="F119" s="2">
        <v>285.98001098632801</v>
      </c>
      <c r="G119" s="2">
        <v>281.64001464843699</v>
      </c>
      <c r="H119" s="2">
        <v>282.829986572265</v>
      </c>
      <c r="I119" s="2">
        <v>282.829986572265</v>
      </c>
      <c r="J119" s="2">
        <v>27276600</v>
      </c>
      <c r="K119" s="42">
        <f t="shared" si="6"/>
        <v>281.829986572265</v>
      </c>
    </row>
    <row r="120" spans="2:11">
      <c r="B120" t="s">
        <v>15</v>
      </c>
      <c r="C120" s="3" t="s">
        <v>9</v>
      </c>
      <c r="D120" s="1">
        <v>45028</v>
      </c>
      <c r="E120" s="2">
        <v>284.79000854492102</v>
      </c>
      <c r="F120" s="2">
        <v>287.010009765625</v>
      </c>
      <c r="G120" s="2">
        <v>281.95999145507801</v>
      </c>
      <c r="H120" s="2">
        <v>283.489990234375</v>
      </c>
      <c r="I120" s="2">
        <v>283.489990234375</v>
      </c>
      <c r="J120" s="2">
        <v>27403400</v>
      </c>
      <c r="K120" s="42">
        <f t="shared" si="6"/>
        <v>282.489990234375</v>
      </c>
    </row>
    <row r="121" spans="2:11">
      <c r="B121" t="s">
        <v>15</v>
      </c>
      <c r="C121" s="3" t="s">
        <v>9</v>
      </c>
      <c r="D121" s="1">
        <v>45029</v>
      </c>
      <c r="E121" s="2">
        <v>283.58999633789</v>
      </c>
      <c r="F121" s="2">
        <v>289.89999389648398</v>
      </c>
      <c r="G121" s="2">
        <v>283.17001342773398</v>
      </c>
      <c r="H121" s="2">
        <v>289.83999633789</v>
      </c>
      <c r="I121" s="2">
        <v>289.83999633789</v>
      </c>
      <c r="J121" s="2">
        <v>24222700</v>
      </c>
      <c r="K121" s="42">
        <f t="shared" si="6"/>
        <v>288.83999633789</v>
      </c>
    </row>
    <row r="122" spans="2:11">
      <c r="B122" t="s">
        <v>15</v>
      </c>
      <c r="C122" s="3" t="s">
        <v>9</v>
      </c>
      <c r="D122" s="1">
        <v>45030</v>
      </c>
      <c r="E122" s="2">
        <v>287</v>
      </c>
      <c r="F122" s="2">
        <v>288.48001098632801</v>
      </c>
      <c r="G122" s="2">
        <v>283.69000244140602</v>
      </c>
      <c r="H122" s="2">
        <v>286.14001464843699</v>
      </c>
      <c r="I122" s="2">
        <v>286.14001464843699</v>
      </c>
      <c r="J122" s="2">
        <v>20987900</v>
      </c>
      <c r="K122" s="42">
        <f t="shared" si="6"/>
        <v>285.14001464843699</v>
      </c>
    </row>
    <row r="123" spans="2:11">
      <c r="B123" t="s">
        <v>15</v>
      </c>
      <c r="C123" s="3" t="s">
        <v>9</v>
      </c>
      <c r="D123" s="1">
        <v>45033</v>
      </c>
      <c r="E123" s="2">
        <v>289.92999267578102</v>
      </c>
      <c r="F123" s="2">
        <v>291.600006103515</v>
      </c>
      <c r="G123" s="2">
        <v>286.16000366210898</v>
      </c>
      <c r="H123" s="2">
        <v>288.79998779296801</v>
      </c>
      <c r="I123" s="2">
        <v>288.79998779296801</v>
      </c>
      <c r="J123" s="2">
        <v>23836200</v>
      </c>
      <c r="K123" s="42">
        <f t="shared" si="6"/>
        <v>287.79998779296801</v>
      </c>
    </row>
    <row r="124" spans="2:11">
      <c r="B124" t="s">
        <v>15</v>
      </c>
      <c r="C124" s="3" t="s">
        <v>9</v>
      </c>
      <c r="D124" s="1">
        <v>45034</v>
      </c>
      <c r="E124" s="2">
        <v>291.57000732421801</v>
      </c>
      <c r="F124" s="2">
        <v>291.760009765625</v>
      </c>
      <c r="G124" s="2">
        <v>287.010009765625</v>
      </c>
      <c r="H124" s="2">
        <v>288.36999511718699</v>
      </c>
      <c r="I124" s="2">
        <v>288.36999511718699</v>
      </c>
      <c r="J124" s="2">
        <v>20161800</v>
      </c>
      <c r="K124" s="42">
        <f t="shared" si="6"/>
        <v>287.36999511718699</v>
      </c>
    </row>
    <row r="125" spans="2:11">
      <c r="B125" t="s">
        <v>15</v>
      </c>
      <c r="C125" s="3" t="s">
        <v>9</v>
      </c>
      <c r="D125" s="1">
        <v>45035</v>
      </c>
      <c r="E125" s="2">
        <v>285.989990234375</v>
      </c>
      <c r="F125" s="2">
        <v>289.04998779296801</v>
      </c>
      <c r="G125" s="2">
        <v>284.54000854492102</v>
      </c>
      <c r="H125" s="2">
        <v>288.45001220703102</v>
      </c>
      <c r="I125" s="2">
        <v>288.45001220703102</v>
      </c>
      <c r="J125" s="2">
        <v>17150300</v>
      </c>
      <c r="K125" s="42">
        <f t="shared" si="6"/>
        <v>287.45001220703102</v>
      </c>
    </row>
    <row r="126" spans="2:11">
      <c r="B126" t="s">
        <v>15</v>
      </c>
      <c r="C126" s="3" t="s">
        <v>9</v>
      </c>
      <c r="D126" s="1">
        <v>45036</v>
      </c>
      <c r="E126" s="2">
        <v>285.25</v>
      </c>
      <c r="F126" s="2">
        <v>289.02999877929602</v>
      </c>
      <c r="G126" s="2">
        <v>285.079986572265</v>
      </c>
      <c r="H126" s="2">
        <v>286.10998535156199</v>
      </c>
      <c r="I126" s="2">
        <v>286.10998535156199</v>
      </c>
      <c r="J126" s="2">
        <v>23244400</v>
      </c>
      <c r="K126" s="42">
        <f t="shared" si="6"/>
        <v>285.10998535156199</v>
      </c>
    </row>
    <row r="127" spans="2:11">
      <c r="B127" t="s">
        <v>15</v>
      </c>
      <c r="C127" s="3" t="s">
        <v>9</v>
      </c>
      <c r="D127" s="1">
        <v>45037</v>
      </c>
      <c r="E127" s="2">
        <v>285.010009765625</v>
      </c>
      <c r="F127" s="2">
        <v>286.26998901367102</v>
      </c>
      <c r="G127" s="2">
        <v>283.05999755859301</v>
      </c>
      <c r="H127" s="2">
        <v>285.760009765625</v>
      </c>
      <c r="I127" s="2">
        <v>285.760009765625</v>
      </c>
      <c r="J127" s="2">
        <v>21676400</v>
      </c>
      <c r="K127" s="42">
        <f t="shared" si="6"/>
        <v>284.760009765625</v>
      </c>
    </row>
    <row r="128" spans="2:11">
      <c r="B128" t="s">
        <v>15</v>
      </c>
      <c r="C128" s="3" t="s">
        <v>9</v>
      </c>
      <c r="D128" s="1">
        <v>45040</v>
      </c>
      <c r="E128" s="2">
        <v>282.08999633789</v>
      </c>
      <c r="F128" s="2">
        <v>284.95001220703102</v>
      </c>
      <c r="G128" s="2">
        <v>278.72000122070301</v>
      </c>
      <c r="H128" s="2">
        <v>281.76998901367102</v>
      </c>
      <c r="I128" s="2">
        <v>281.76998901367102</v>
      </c>
      <c r="J128" s="2">
        <v>26611000</v>
      </c>
      <c r="K128" s="42">
        <f t="shared" si="6"/>
        <v>280.76998901367102</v>
      </c>
    </row>
    <row r="129" spans="2:19">
      <c r="B129" t="s">
        <v>15</v>
      </c>
      <c r="C129" s="3" t="s">
        <v>9</v>
      </c>
      <c r="D129" s="1">
        <v>45041</v>
      </c>
      <c r="E129" s="2">
        <v>279.510009765625</v>
      </c>
      <c r="F129" s="2">
        <v>281.600006103515</v>
      </c>
      <c r="G129" s="2">
        <v>275.36999511718699</v>
      </c>
      <c r="H129" s="2">
        <v>275.42001342773398</v>
      </c>
      <c r="I129" s="2">
        <v>275.42001342773398</v>
      </c>
      <c r="J129" s="2">
        <v>45772200</v>
      </c>
      <c r="K129" s="42">
        <f t="shared" si="6"/>
        <v>274.42001342773398</v>
      </c>
    </row>
    <row r="130" spans="2:19">
      <c r="B130" t="s">
        <v>15</v>
      </c>
      <c r="C130" s="3" t="s">
        <v>9</v>
      </c>
      <c r="D130" s="1">
        <v>45042</v>
      </c>
      <c r="E130" s="2">
        <v>296.70001220703102</v>
      </c>
      <c r="F130" s="2">
        <v>299.57000732421801</v>
      </c>
      <c r="G130" s="2">
        <v>292.73001098632801</v>
      </c>
      <c r="H130" s="2">
        <v>295.36999511718699</v>
      </c>
      <c r="I130" s="2">
        <v>295.36999511718699</v>
      </c>
      <c r="J130" s="2">
        <v>64599200</v>
      </c>
      <c r="K130" s="42">
        <f t="shared" si="6"/>
        <v>294.36999511718699</v>
      </c>
    </row>
    <row r="131" spans="2:19">
      <c r="B131" t="s">
        <v>15</v>
      </c>
      <c r="C131" s="3" t="s">
        <v>9</v>
      </c>
      <c r="D131" s="1">
        <v>45043</v>
      </c>
      <c r="E131" s="2">
        <v>295.97000122070301</v>
      </c>
      <c r="F131" s="2">
        <v>305.20001220703102</v>
      </c>
      <c r="G131" s="2">
        <v>295.25</v>
      </c>
      <c r="H131" s="2">
        <v>304.829986572265</v>
      </c>
      <c r="I131" s="2">
        <v>304.829986572265</v>
      </c>
      <c r="J131" s="2">
        <v>46462600</v>
      </c>
      <c r="K131" s="42">
        <f t="shared" si="6"/>
        <v>303.829986572265</v>
      </c>
    </row>
    <row r="132" spans="2:19">
      <c r="B132" t="s">
        <v>15</v>
      </c>
      <c r="C132" s="3" t="s">
        <v>9</v>
      </c>
      <c r="D132" s="1">
        <v>45044</v>
      </c>
      <c r="E132" s="2">
        <v>304.010009765625</v>
      </c>
      <c r="F132" s="2">
        <v>308.92999267578102</v>
      </c>
      <c r="G132" s="2">
        <v>303.30999755859301</v>
      </c>
      <c r="H132" s="2">
        <v>307.260009765625</v>
      </c>
      <c r="I132" s="2">
        <v>307.260009765625</v>
      </c>
      <c r="J132" s="2">
        <v>36446700</v>
      </c>
      <c r="K132" s="42">
        <f t="shared" si="6"/>
        <v>306.260009765625</v>
      </c>
    </row>
    <row r="133" spans="2:19">
      <c r="B133" t="s">
        <v>15</v>
      </c>
      <c r="C133" s="3" t="s">
        <v>9</v>
      </c>
      <c r="D133" s="1">
        <v>45047</v>
      </c>
      <c r="E133" s="2">
        <v>306.97000122070301</v>
      </c>
      <c r="F133" s="2">
        <v>308.600006103515</v>
      </c>
      <c r="G133" s="2">
        <v>305.14999389648398</v>
      </c>
      <c r="H133" s="2">
        <v>305.55999755859301</v>
      </c>
      <c r="I133" s="2">
        <v>305.55999755859301</v>
      </c>
      <c r="J133" s="2">
        <v>21294100</v>
      </c>
      <c r="K133" s="42">
        <f t="shared" si="6"/>
        <v>304.55999755859301</v>
      </c>
    </row>
    <row r="134" spans="2:19">
      <c r="B134" t="s">
        <v>15</v>
      </c>
      <c r="C134" s="3" t="s">
        <v>9</v>
      </c>
      <c r="D134" s="1">
        <v>45048</v>
      </c>
      <c r="E134" s="2">
        <v>307.760009765625</v>
      </c>
      <c r="F134" s="2">
        <v>309.17999267578102</v>
      </c>
      <c r="G134" s="2">
        <v>303.91000366210898</v>
      </c>
      <c r="H134" s="2">
        <v>305.41000366210898</v>
      </c>
      <c r="I134" s="2">
        <v>305.41000366210898</v>
      </c>
      <c r="J134" s="2">
        <v>26404400</v>
      </c>
      <c r="K134" s="42">
        <f t="shared" si="6"/>
        <v>304.41000366210898</v>
      </c>
    </row>
    <row r="135" spans="2:19">
      <c r="B135" t="s">
        <v>15</v>
      </c>
      <c r="C135" s="3" t="s">
        <v>9</v>
      </c>
      <c r="D135" s="1">
        <v>45049</v>
      </c>
      <c r="E135" s="2">
        <v>306.61999511718699</v>
      </c>
      <c r="F135" s="2">
        <v>308.60998535156199</v>
      </c>
      <c r="G135" s="2">
        <v>304.08999633789</v>
      </c>
      <c r="H135" s="2">
        <v>304.39999389648398</v>
      </c>
      <c r="I135" s="2">
        <v>304.39999389648398</v>
      </c>
      <c r="J135" s="2">
        <v>22360800</v>
      </c>
      <c r="K135" s="42">
        <f t="shared" si="6"/>
        <v>303.39999389648398</v>
      </c>
    </row>
    <row r="136" spans="2:19">
      <c r="B136" t="s">
        <v>15</v>
      </c>
      <c r="C136" s="3" t="s">
        <v>9</v>
      </c>
      <c r="D136" s="1">
        <v>45050</v>
      </c>
      <c r="E136" s="2">
        <v>306.239990234375</v>
      </c>
      <c r="F136" s="2">
        <v>307.760009765625</v>
      </c>
      <c r="G136" s="2">
        <v>303.39999389648398</v>
      </c>
      <c r="H136" s="2">
        <v>305.41000366210898</v>
      </c>
      <c r="I136" s="2">
        <v>305.41000366210898</v>
      </c>
      <c r="J136" s="2">
        <v>22519900</v>
      </c>
      <c r="K136" s="42">
        <f t="shared" si="6"/>
        <v>304.41000366210898</v>
      </c>
    </row>
    <row r="137" spans="2:19">
      <c r="B137" t="s">
        <v>15</v>
      </c>
      <c r="C137" s="3" t="s">
        <v>9</v>
      </c>
      <c r="D137" s="1">
        <v>45051</v>
      </c>
      <c r="E137" s="2">
        <v>305.72000122070301</v>
      </c>
      <c r="F137" s="2">
        <v>311.97000122070301</v>
      </c>
      <c r="G137" s="2">
        <v>304.26998901367102</v>
      </c>
      <c r="H137" s="2">
        <v>310.64999389648398</v>
      </c>
      <c r="I137" s="2">
        <v>310.64999389648398</v>
      </c>
      <c r="J137" s="2">
        <v>28181200</v>
      </c>
      <c r="K137" s="42">
        <f t="shared" si="6"/>
        <v>309.64999389648398</v>
      </c>
    </row>
    <row r="138" spans="2:19" s="9" customFormat="1" ht="15.75" thickBot="1">
      <c r="C138" s="38"/>
      <c r="D138" s="39"/>
      <c r="E138" s="37"/>
      <c r="F138" s="37"/>
      <c r="G138" s="37"/>
      <c r="H138" s="37"/>
      <c r="I138" s="37"/>
      <c r="J138" s="37"/>
      <c r="K138" s="37"/>
      <c r="S138" s="17"/>
    </row>
    <row r="139" spans="2:19" ht="15.75">
      <c r="B139" s="43"/>
      <c r="C139" s="45"/>
      <c r="D139" s="46"/>
      <c r="E139" s="48"/>
      <c r="F139" s="49" t="s">
        <v>38</v>
      </c>
      <c r="G139" s="49"/>
      <c r="H139" s="48"/>
      <c r="I139" s="48"/>
      <c r="J139" s="48"/>
      <c r="K139" s="48"/>
    </row>
    <row r="140" spans="2:19">
      <c r="B140" s="10" t="str">
        <f>B74</f>
        <v>Comp Name</v>
      </c>
      <c r="C140" s="7" t="str">
        <f>C74</f>
        <v>Ticker</v>
      </c>
      <c r="D140" s="10" t="str">
        <f t="shared" ref="D140:J140" si="7">D74</f>
        <v>Date</v>
      </c>
      <c r="E140" s="10" t="str">
        <f t="shared" si="7"/>
        <v>Open</v>
      </c>
      <c r="F140" s="10" t="str">
        <f t="shared" si="7"/>
        <v>High</v>
      </c>
      <c r="G140" s="10" t="str">
        <f t="shared" si="7"/>
        <v>Low</v>
      </c>
      <c r="H140" s="10" t="str">
        <f t="shared" si="7"/>
        <v>Close</v>
      </c>
      <c r="I140" s="10" t="str">
        <f t="shared" si="7"/>
        <v>Adj Close</v>
      </c>
      <c r="J140" s="10" t="str">
        <f t="shared" si="7"/>
        <v>Volume</v>
      </c>
      <c r="K140" s="10" t="str">
        <f>K74</f>
        <v>Daily returns</v>
      </c>
      <c r="N140" s="30" t="s">
        <v>20</v>
      </c>
      <c r="O140" s="30"/>
      <c r="P140" s="30"/>
    </row>
    <row r="141" spans="2:19">
      <c r="C141" s="3"/>
      <c r="D141" s="1"/>
      <c r="E141" s="2"/>
      <c r="F141" s="2"/>
      <c r="G141" s="2"/>
      <c r="H141" s="2"/>
      <c r="I141" s="2"/>
      <c r="J141" s="2"/>
      <c r="K141" s="2"/>
    </row>
    <row r="142" spans="2:19">
      <c r="B142" t="s">
        <v>16</v>
      </c>
      <c r="C142" s="3" t="s">
        <v>10</v>
      </c>
      <c r="D142" s="1">
        <v>44964</v>
      </c>
      <c r="E142" s="2">
        <v>358.510009765625</v>
      </c>
      <c r="F142" s="2">
        <v>364.17999267578102</v>
      </c>
      <c r="G142" s="2">
        <v>354.17999267578102</v>
      </c>
      <c r="H142" s="2">
        <v>362.95001220703102</v>
      </c>
      <c r="I142" s="2">
        <v>362.95001220703102</v>
      </c>
      <c r="J142" s="2">
        <v>6289400</v>
      </c>
      <c r="K142" s="2"/>
    </row>
    <row r="143" spans="2:19">
      <c r="B143" t="s">
        <v>16</v>
      </c>
      <c r="C143" s="3" t="s">
        <v>10</v>
      </c>
      <c r="D143" s="1">
        <v>44965</v>
      </c>
      <c r="E143" s="2">
        <v>360.01998901367102</v>
      </c>
      <c r="F143" s="2">
        <v>368.19000244140602</v>
      </c>
      <c r="G143" s="2">
        <v>358.30999755859301</v>
      </c>
      <c r="H143" s="2">
        <v>366.829986572265</v>
      </c>
      <c r="I143" s="2">
        <v>366.829986572265</v>
      </c>
      <c r="J143" s="2">
        <v>6253200</v>
      </c>
      <c r="K143" s="42">
        <f>I143-I142/I142</f>
        <v>365.829986572265</v>
      </c>
    </row>
    <row r="144" spans="2:19">
      <c r="B144" t="s">
        <v>16</v>
      </c>
      <c r="C144" s="3" t="s">
        <v>10</v>
      </c>
      <c r="D144" s="1">
        <v>44966</v>
      </c>
      <c r="E144" s="2">
        <v>372.41000366210898</v>
      </c>
      <c r="F144" s="2">
        <v>373.829986572265</v>
      </c>
      <c r="G144" s="2">
        <v>361.739990234375</v>
      </c>
      <c r="H144" s="2">
        <v>362.5</v>
      </c>
      <c r="I144" s="2">
        <v>362.5</v>
      </c>
      <c r="J144" s="2">
        <v>6901100</v>
      </c>
      <c r="K144" s="42">
        <f t="shared" ref="K144:K203" si="8">I144-I143/I143</f>
        <v>361.5</v>
      </c>
    </row>
    <row r="145" spans="2:16">
      <c r="B145" t="s">
        <v>16</v>
      </c>
      <c r="C145" s="3" t="s">
        <v>10</v>
      </c>
      <c r="D145" s="1">
        <v>44967</v>
      </c>
      <c r="E145" s="2">
        <v>359.16000366210898</v>
      </c>
      <c r="F145" s="2">
        <v>362.14001464843699</v>
      </c>
      <c r="G145" s="2">
        <v>347.14001464843699</v>
      </c>
      <c r="H145" s="2">
        <v>347.35998535156199</v>
      </c>
      <c r="I145" s="2">
        <v>347.35998535156199</v>
      </c>
      <c r="J145" s="2">
        <v>7291100</v>
      </c>
      <c r="K145" s="42">
        <f t="shared" si="8"/>
        <v>346.35998535156199</v>
      </c>
    </row>
    <row r="146" spans="2:16">
      <c r="B146" t="s">
        <v>16</v>
      </c>
      <c r="C146" s="3" t="s">
        <v>10</v>
      </c>
      <c r="D146" s="1">
        <v>44970</v>
      </c>
      <c r="E146" s="2">
        <v>349.5</v>
      </c>
      <c r="F146" s="2">
        <v>359.70001220703102</v>
      </c>
      <c r="G146" s="2">
        <v>344.25</v>
      </c>
      <c r="H146" s="2">
        <v>358.57000732421801</v>
      </c>
      <c r="I146" s="2">
        <v>358.57000732421801</v>
      </c>
      <c r="J146" s="2">
        <v>7134400</v>
      </c>
      <c r="K146" s="42">
        <f t="shared" si="8"/>
        <v>357.57000732421801</v>
      </c>
    </row>
    <row r="147" spans="2:16">
      <c r="B147" t="s">
        <v>16</v>
      </c>
      <c r="C147" s="3" t="s">
        <v>10</v>
      </c>
      <c r="D147" s="1">
        <v>44971</v>
      </c>
      <c r="E147" s="2">
        <v>357.54998779296801</v>
      </c>
      <c r="F147" s="2">
        <v>363.75</v>
      </c>
      <c r="G147" s="2">
        <v>353.39999389648398</v>
      </c>
      <c r="H147" s="2">
        <v>359.95999145507801</v>
      </c>
      <c r="I147" s="2">
        <v>359.95999145507801</v>
      </c>
      <c r="J147" s="2">
        <v>4624800</v>
      </c>
      <c r="K147" s="42">
        <f t="shared" si="8"/>
        <v>358.95999145507801</v>
      </c>
    </row>
    <row r="148" spans="2:16">
      <c r="B148" t="s">
        <v>16</v>
      </c>
      <c r="C148" s="3" t="s">
        <v>10</v>
      </c>
      <c r="D148" s="1">
        <v>44972</v>
      </c>
      <c r="E148" s="2">
        <v>356.63000488281199</v>
      </c>
      <c r="F148" s="2">
        <v>362.88000488281199</v>
      </c>
      <c r="G148" s="2">
        <v>354.239990234375</v>
      </c>
      <c r="H148" s="2">
        <v>361.42001342773398</v>
      </c>
      <c r="I148" s="2">
        <v>361.42001342773398</v>
      </c>
      <c r="J148" s="2">
        <v>3966000</v>
      </c>
      <c r="K148" s="42">
        <f t="shared" si="8"/>
        <v>360.42001342773398</v>
      </c>
    </row>
    <row r="149" spans="2:16">
      <c r="B149" t="s">
        <v>16</v>
      </c>
      <c r="C149" s="3" t="s">
        <v>10</v>
      </c>
      <c r="D149" s="1">
        <v>44973</v>
      </c>
      <c r="E149" s="2">
        <v>355</v>
      </c>
      <c r="F149" s="2">
        <v>361.5</v>
      </c>
      <c r="G149" s="2">
        <v>350.30999755859301</v>
      </c>
      <c r="H149" s="2">
        <v>350.70999145507801</v>
      </c>
      <c r="I149" s="2">
        <v>350.70999145507801</v>
      </c>
      <c r="J149" s="2">
        <v>5215700</v>
      </c>
      <c r="K149" s="42">
        <f t="shared" si="8"/>
        <v>349.70999145507801</v>
      </c>
    </row>
    <row r="150" spans="2:16">
      <c r="B150" t="s">
        <v>16</v>
      </c>
      <c r="C150" s="3" t="s">
        <v>10</v>
      </c>
      <c r="D150" s="1">
        <v>44974</v>
      </c>
      <c r="E150" s="2">
        <v>347.91000366210898</v>
      </c>
      <c r="F150" s="2">
        <v>349</v>
      </c>
      <c r="G150" s="2">
        <v>342.44000244140602</v>
      </c>
      <c r="H150" s="2">
        <v>347.95999145507801</v>
      </c>
      <c r="I150" s="2">
        <v>347.95999145507801</v>
      </c>
      <c r="J150" s="2">
        <v>5294700</v>
      </c>
      <c r="K150" s="42">
        <f t="shared" si="8"/>
        <v>346.95999145507801</v>
      </c>
    </row>
    <row r="151" spans="2:16">
      <c r="B151" t="s">
        <v>16</v>
      </c>
      <c r="C151" s="3" t="s">
        <v>10</v>
      </c>
      <c r="D151" s="1">
        <v>44978</v>
      </c>
      <c r="E151" s="2">
        <v>342.850006103515</v>
      </c>
      <c r="F151" s="2">
        <v>344.13000488281199</v>
      </c>
      <c r="G151" s="2">
        <v>336.42001342773398</v>
      </c>
      <c r="H151" s="2">
        <v>337.5</v>
      </c>
      <c r="I151" s="2">
        <v>337.5</v>
      </c>
      <c r="J151" s="2">
        <v>5710300</v>
      </c>
      <c r="K151" s="42">
        <f t="shared" si="8"/>
        <v>336.5</v>
      </c>
    </row>
    <row r="152" spans="2:16">
      <c r="B152" t="s">
        <v>16</v>
      </c>
      <c r="C152" s="3" t="s">
        <v>10</v>
      </c>
      <c r="D152" s="1">
        <v>44979</v>
      </c>
      <c r="E152" s="2">
        <v>337.5</v>
      </c>
      <c r="F152" s="2">
        <v>341.91000366210898</v>
      </c>
      <c r="G152" s="2">
        <v>332.82000732421801</v>
      </c>
      <c r="H152" s="2">
        <v>334.88000488281199</v>
      </c>
      <c r="I152" s="2">
        <v>334.88000488281199</v>
      </c>
      <c r="J152" s="2">
        <v>4546200</v>
      </c>
      <c r="K152" s="42">
        <f t="shared" si="8"/>
        <v>333.88000488281199</v>
      </c>
    </row>
    <row r="153" spans="2:16">
      <c r="B153" t="s">
        <v>16</v>
      </c>
      <c r="C153" s="3" t="s">
        <v>10</v>
      </c>
      <c r="D153" s="1">
        <v>44980</v>
      </c>
      <c r="E153" s="2">
        <v>331.23001098632801</v>
      </c>
      <c r="F153" s="2">
        <v>331.27999877929602</v>
      </c>
      <c r="G153" s="2">
        <v>314.29998779296801</v>
      </c>
      <c r="H153" s="2">
        <v>323.64999389648398</v>
      </c>
      <c r="I153" s="2">
        <v>323.64999389648398</v>
      </c>
      <c r="J153" s="2">
        <v>13238700</v>
      </c>
      <c r="K153" s="42">
        <f t="shared" si="8"/>
        <v>322.64999389648398</v>
      </c>
    </row>
    <row r="154" spans="2:16">
      <c r="B154" t="s">
        <v>16</v>
      </c>
      <c r="C154" s="3" t="s">
        <v>10</v>
      </c>
      <c r="D154" s="1">
        <v>44981</v>
      </c>
      <c r="E154" s="2">
        <v>319.29998779296801</v>
      </c>
      <c r="F154" s="2">
        <v>321.5</v>
      </c>
      <c r="G154" s="2">
        <v>314.51998901367102</v>
      </c>
      <c r="H154" s="2">
        <v>317.14999389648398</v>
      </c>
      <c r="I154" s="2">
        <v>317.14999389648398</v>
      </c>
      <c r="J154" s="2">
        <v>6830700</v>
      </c>
      <c r="K154" s="42">
        <f t="shared" si="8"/>
        <v>316.14999389648398</v>
      </c>
    </row>
    <row r="155" spans="2:16">
      <c r="B155" t="s">
        <v>16</v>
      </c>
      <c r="C155" s="3" t="s">
        <v>10</v>
      </c>
      <c r="D155" s="1">
        <v>44984</v>
      </c>
      <c r="E155" s="2">
        <v>323.86999511718699</v>
      </c>
      <c r="F155" s="2">
        <v>330</v>
      </c>
      <c r="G155" s="2">
        <v>322.11999511718699</v>
      </c>
      <c r="H155" s="2">
        <v>323.02999877929602</v>
      </c>
      <c r="I155" s="2">
        <v>323.02999877929602</v>
      </c>
      <c r="J155" s="2">
        <v>6142600</v>
      </c>
      <c r="K155" s="42">
        <f t="shared" si="8"/>
        <v>322.02999877929602</v>
      </c>
    </row>
    <row r="156" spans="2:16">
      <c r="B156" t="s">
        <v>16</v>
      </c>
      <c r="C156" s="3" t="s">
        <v>10</v>
      </c>
      <c r="D156" s="1">
        <v>44985</v>
      </c>
      <c r="E156" s="2">
        <v>323.70001220703102</v>
      </c>
      <c r="F156" s="2">
        <v>327.61999511718699</v>
      </c>
      <c r="G156" s="2">
        <v>321.17001342773398</v>
      </c>
      <c r="H156" s="2">
        <v>322.13000488281199</v>
      </c>
      <c r="I156" s="2">
        <v>322.13000488281199</v>
      </c>
      <c r="J156" s="2">
        <v>3676100</v>
      </c>
      <c r="K156" s="42">
        <f t="shared" si="8"/>
        <v>321.13000488281199</v>
      </c>
    </row>
    <row r="157" spans="2:16">
      <c r="B157" t="s">
        <v>16</v>
      </c>
      <c r="C157" s="3" t="s">
        <v>10</v>
      </c>
      <c r="D157" s="1">
        <v>44986</v>
      </c>
      <c r="E157" s="2">
        <v>321.54998779296801</v>
      </c>
      <c r="F157" s="2">
        <v>326.600006103515</v>
      </c>
      <c r="G157" s="2">
        <v>312.35998535156199</v>
      </c>
      <c r="H157" s="2">
        <v>313.48001098632801</v>
      </c>
      <c r="I157" s="2">
        <v>313.48001098632801</v>
      </c>
      <c r="J157" s="2">
        <v>4911300</v>
      </c>
      <c r="K157" s="42">
        <f t="shared" si="8"/>
        <v>312.48001098632801</v>
      </c>
    </row>
    <row r="158" spans="2:16">
      <c r="B158" t="s">
        <v>16</v>
      </c>
      <c r="C158" s="3" t="s">
        <v>10</v>
      </c>
      <c r="D158" s="1">
        <v>44987</v>
      </c>
      <c r="E158" s="2">
        <v>310.95999145507801</v>
      </c>
      <c r="F158" s="2">
        <v>315.57000732421801</v>
      </c>
      <c r="G158" s="2">
        <v>310.38000488281199</v>
      </c>
      <c r="H158" s="2">
        <v>311.88000488281199</v>
      </c>
      <c r="I158" s="2">
        <v>311.88000488281199</v>
      </c>
      <c r="J158" s="2">
        <v>4911000</v>
      </c>
      <c r="K158" s="42">
        <f t="shared" si="8"/>
        <v>310.88000488281199</v>
      </c>
    </row>
    <row r="159" spans="2:16">
      <c r="B159" t="s">
        <v>16</v>
      </c>
      <c r="C159" s="3" t="s">
        <v>10</v>
      </c>
      <c r="D159" s="1">
        <v>44988</v>
      </c>
      <c r="E159" s="2">
        <v>315.45001220703102</v>
      </c>
      <c r="F159" s="2">
        <v>317.489990234375</v>
      </c>
      <c r="G159" s="2">
        <v>310.82000732421801</v>
      </c>
      <c r="H159" s="2">
        <v>315.17999267578102</v>
      </c>
      <c r="I159" s="2">
        <v>315.17999267578102</v>
      </c>
      <c r="J159" s="2">
        <v>5953300</v>
      </c>
      <c r="K159" s="42">
        <f t="shared" si="8"/>
        <v>314.17999267578102</v>
      </c>
    </row>
    <row r="160" spans="2:16">
      <c r="B160" t="s">
        <v>16</v>
      </c>
      <c r="C160" s="3" t="s">
        <v>10</v>
      </c>
      <c r="D160" s="1">
        <v>44991</v>
      </c>
      <c r="E160" s="2">
        <v>317</v>
      </c>
      <c r="F160" s="2">
        <v>323.29998779296801</v>
      </c>
      <c r="G160" s="2">
        <v>311.83999633789</v>
      </c>
      <c r="H160" s="2">
        <v>312.02999877929602</v>
      </c>
      <c r="I160" s="2">
        <v>312.02999877929602</v>
      </c>
      <c r="J160" s="2">
        <v>5660700</v>
      </c>
      <c r="K160" s="42">
        <f t="shared" si="8"/>
        <v>311.02999877929602</v>
      </c>
      <c r="N160" s="29" t="s">
        <v>33</v>
      </c>
      <c r="O160" s="29"/>
      <c r="P160" s="29"/>
    </row>
    <row r="161" spans="2:11">
      <c r="B161" t="s">
        <v>16</v>
      </c>
      <c r="C161" s="3" t="s">
        <v>10</v>
      </c>
      <c r="D161" s="1">
        <v>44992</v>
      </c>
      <c r="E161" s="2">
        <v>312.67999267578102</v>
      </c>
      <c r="F161" s="2">
        <v>314.29998779296801</v>
      </c>
      <c r="G161" s="2">
        <v>306.61999511718699</v>
      </c>
      <c r="H161" s="2">
        <v>308.47000122070301</v>
      </c>
      <c r="I161" s="2">
        <v>308.47000122070301</v>
      </c>
      <c r="J161" s="2">
        <v>4553100</v>
      </c>
      <c r="K161" s="42">
        <f t="shared" si="8"/>
        <v>307.47000122070301</v>
      </c>
    </row>
    <row r="162" spans="2:11">
      <c r="B162" t="s">
        <v>16</v>
      </c>
      <c r="C162" s="3" t="s">
        <v>10</v>
      </c>
      <c r="D162" s="1">
        <v>44993</v>
      </c>
      <c r="E162" s="2">
        <v>309.29000854492102</v>
      </c>
      <c r="F162" s="2">
        <v>311.829986572265</v>
      </c>
      <c r="G162" s="2">
        <v>305.75</v>
      </c>
      <c r="H162" s="2">
        <v>311.79000854492102</v>
      </c>
      <c r="I162" s="2">
        <v>311.79000854492102</v>
      </c>
      <c r="J162" s="2">
        <v>3479500</v>
      </c>
      <c r="K162" s="42">
        <f t="shared" si="8"/>
        <v>310.79000854492102</v>
      </c>
    </row>
    <row r="163" spans="2:11">
      <c r="B163" t="s">
        <v>16</v>
      </c>
      <c r="C163" s="3" t="s">
        <v>10</v>
      </c>
      <c r="D163" s="1">
        <v>44994</v>
      </c>
      <c r="E163" s="2">
        <v>312.079986572265</v>
      </c>
      <c r="F163" s="2">
        <v>312.510009765625</v>
      </c>
      <c r="G163" s="2">
        <v>294.88000488281199</v>
      </c>
      <c r="H163" s="2">
        <v>297.77999877929602</v>
      </c>
      <c r="I163" s="2">
        <v>297.77999877929602</v>
      </c>
      <c r="J163" s="2">
        <v>7443400</v>
      </c>
      <c r="K163" s="42">
        <f t="shared" si="8"/>
        <v>296.77999877929602</v>
      </c>
    </row>
    <row r="164" spans="2:11">
      <c r="B164" t="s">
        <v>16</v>
      </c>
      <c r="C164" s="3" t="s">
        <v>10</v>
      </c>
      <c r="D164" s="1">
        <v>44995</v>
      </c>
      <c r="E164" s="2">
        <v>297.89999389648398</v>
      </c>
      <c r="F164" s="2">
        <v>298.79000854492102</v>
      </c>
      <c r="G164" s="2">
        <v>289</v>
      </c>
      <c r="H164" s="2">
        <v>292.760009765625</v>
      </c>
      <c r="I164" s="2">
        <v>292.760009765625</v>
      </c>
      <c r="J164" s="2">
        <v>5759300</v>
      </c>
      <c r="K164" s="42">
        <f t="shared" si="8"/>
        <v>291.760009765625</v>
      </c>
    </row>
    <row r="165" spans="2:11">
      <c r="B165" t="s">
        <v>16</v>
      </c>
      <c r="C165" s="3" t="s">
        <v>10</v>
      </c>
      <c r="D165" s="1">
        <v>44998</v>
      </c>
      <c r="E165" s="2">
        <v>287.33999633789</v>
      </c>
      <c r="F165" s="2">
        <v>299.239990234375</v>
      </c>
      <c r="G165" s="2">
        <v>285.329986572265</v>
      </c>
      <c r="H165" s="2">
        <v>293.510009765625</v>
      </c>
      <c r="I165" s="2">
        <v>293.510009765625</v>
      </c>
      <c r="J165" s="2">
        <v>6292400</v>
      </c>
      <c r="K165" s="42">
        <f t="shared" si="8"/>
        <v>292.510009765625</v>
      </c>
    </row>
    <row r="166" spans="2:11">
      <c r="B166" t="s">
        <v>16</v>
      </c>
      <c r="C166" s="3" t="s">
        <v>10</v>
      </c>
      <c r="D166" s="1">
        <v>44999</v>
      </c>
      <c r="E166" s="2">
        <v>295.97000122070301</v>
      </c>
      <c r="F166" s="2">
        <v>297.45001220703102</v>
      </c>
      <c r="G166" s="2">
        <v>290.30999755859301</v>
      </c>
      <c r="H166" s="2">
        <v>294.94000244140602</v>
      </c>
      <c r="I166" s="2">
        <v>294.94000244140602</v>
      </c>
      <c r="J166" s="2">
        <v>5956700</v>
      </c>
      <c r="K166" s="42">
        <f t="shared" si="8"/>
        <v>293.94000244140602</v>
      </c>
    </row>
    <row r="167" spans="2:11">
      <c r="B167" t="s">
        <v>16</v>
      </c>
      <c r="C167" s="3" t="s">
        <v>10</v>
      </c>
      <c r="D167" s="1">
        <v>45000</v>
      </c>
      <c r="E167" s="2">
        <v>292.510009765625</v>
      </c>
      <c r="F167" s="2">
        <v>306.30999755859301</v>
      </c>
      <c r="G167" s="2">
        <v>292.27999877929602</v>
      </c>
      <c r="H167" s="2">
        <v>303.79000854492102</v>
      </c>
      <c r="I167" s="2">
        <v>303.79000854492102</v>
      </c>
      <c r="J167" s="2">
        <v>9215300</v>
      </c>
      <c r="K167" s="42">
        <f t="shared" si="8"/>
        <v>302.79000854492102</v>
      </c>
    </row>
    <row r="168" spans="2:11">
      <c r="B168" t="s">
        <v>16</v>
      </c>
      <c r="C168" s="3" t="s">
        <v>10</v>
      </c>
      <c r="D168" s="1">
        <v>45001</v>
      </c>
      <c r="E168" s="2">
        <v>304.75</v>
      </c>
      <c r="F168" s="2">
        <v>316.600006103515</v>
      </c>
      <c r="G168" s="2">
        <v>301.70999145507801</v>
      </c>
      <c r="H168" s="2">
        <v>310.05999755859301</v>
      </c>
      <c r="I168" s="2">
        <v>310.05999755859301</v>
      </c>
      <c r="J168" s="2">
        <v>7903700</v>
      </c>
      <c r="K168" s="42">
        <f t="shared" si="8"/>
        <v>309.05999755859301</v>
      </c>
    </row>
    <row r="169" spans="2:11">
      <c r="B169" t="s">
        <v>16</v>
      </c>
      <c r="C169" s="3" t="s">
        <v>10</v>
      </c>
      <c r="D169" s="1">
        <v>45002</v>
      </c>
      <c r="E169" s="2">
        <v>310.05999755859301</v>
      </c>
      <c r="F169" s="2">
        <v>310.760009765625</v>
      </c>
      <c r="G169" s="2">
        <v>300</v>
      </c>
      <c r="H169" s="2">
        <v>303.5</v>
      </c>
      <c r="I169" s="2">
        <v>303.5</v>
      </c>
      <c r="J169" s="2">
        <v>6918800</v>
      </c>
      <c r="K169" s="42">
        <f t="shared" si="8"/>
        <v>302.5</v>
      </c>
    </row>
    <row r="170" spans="2:11">
      <c r="B170" t="s">
        <v>16</v>
      </c>
      <c r="C170" s="3" t="s">
        <v>10</v>
      </c>
      <c r="D170" s="1">
        <v>45005</v>
      </c>
      <c r="E170" s="2">
        <v>299.79000854492102</v>
      </c>
      <c r="F170" s="2">
        <v>307.5</v>
      </c>
      <c r="G170" s="2">
        <v>296</v>
      </c>
      <c r="H170" s="2">
        <v>305.13000488281199</v>
      </c>
      <c r="I170" s="2">
        <v>305.13000488281199</v>
      </c>
      <c r="J170" s="2">
        <v>5113400</v>
      </c>
      <c r="K170" s="42">
        <f t="shared" si="8"/>
        <v>304.13000488281199</v>
      </c>
    </row>
    <row r="171" spans="2:11">
      <c r="B171" t="s">
        <v>16</v>
      </c>
      <c r="C171" s="3" t="s">
        <v>10</v>
      </c>
      <c r="D171" s="1">
        <v>45006</v>
      </c>
      <c r="E171" s="2">
        <v>306.32000732421801</v>
      </c>
      <c r="F171" s="2">
        <v>307.92001342773398</v>
      </c>
      <c r="G171" s="2">
        <v>300.42999267578102</v>
      </c>
      <c r="H171" s="2">
        <v>305.79000854492102</v>
      </c>
      <c r="I171" s="2">
        <v>305.79000854492102</v>
      </c>
      <c r="J171" s="2">
        <v>4886300</v>
      </c>
      <c r="K171" s="42">
        <f t="shared" si="8"/>
        <v>304.79000854492102</v>
      </c>
    </row>
    <row r="172" spans="2:11">
      <c r="B172" t="s">
        <v>16</v>
      </c>
      <c r="C172" s="3" t="s">
        <v>10</v>
      </c>
      <c r="D172" s="1">
        <v>45007</v>
      </c>
      <c r="E172" s="2">
        <v>306.30999755859301</v>
      </c>
      <c r="F172" s="2">
        <v>306.45001220703102</v>
      </c>
      <c r="G172" s="2">
        <v>293.54000854492102</v>
      </c>
      <c r="H172" s="2">
        <v>293.89999389648398</v>
      </c>
      <c r="I172" s="2">
        <v>293.89999389648398</v>
      </c>
      <c r="J172" s="2">
        <v>5808000</v>
      </c>
      <c r="K172" s="42">
        <f t="shared" si="8"/>
        <v>292.89999389648398</v>
      </c>
    </row>
    <row r="173" spans="2:11">
      <c r="B173" t="s">
        <v>16</v>
      </c>
      <c r="C173" s="3" t="s">
        <v>10</v>
      </c>
      <c r="D173" s="1">
        <v>45008</v>
      </c>
      <c r="E173" s="2">
        <v>304.67999267578102</v>
      </c>
      <c r="F173" s="2">
        <v>322.77999877929602</v>
      </c>
      <c r="G173" s="2">
        <v>304.14001464843699</v>
      </c>
      <c r="H173" s="2">
        <v>320.36999511718699</v>
      </c>
      <c r="I173" s="2">
        <v>320.36999511718699</v>
      </c>
      <c r="J173" s="2">
        <v>15653300</v>
      </c>
      <c r="K173" s="42">
        <f t="shared" si="8"/>
        <v>319.36999511718699</v>
      </c>
    </row>
    <row r="174" spans="2:11">
      <c r="B174" t="s">
        <v>16</v>
      </c>
      <c r="C174" s="3" t="s">
        <v>10</v>
      </c>
      <c r="D174" s="1">
        <v>45009</v>
      </c>
      <c r="E174" s="2">
        <v>320.63000488281199</v>
      </c>
      <c r="F174" s="2">
        <v>331.829986572265</v>
      </c>
      <c r="G174" s="2">
        <v>320.63000488281199</v>
      </c>
      <c r="H174" s="2">
        <v>328.39001464843699</v>
      </c>
      <c r="I174" s="2">
        <v>328.39001464843699</v>
      </c>
      <c r="J174" s="2">
        <v>12991700</v>
      </c>
      <c r="K174" s="42">
        <f t="shared" si="8"/>
        <v>327.39001464843699</v>
      </c>
    </row>
    <row r="175" spans="2:11">
      <c r="B175" t="s">
        <v>16</v>
      </c>
      <c r="C175" s="3" t="s">
        <v>10</v>
      </c>
      <c r="D175" s="1">
        <v>45012</v>
      </c>
      <c r="E175" s="2">
        <v>327.54998779296801</v>
      </c>
      <c r="F175" s="2">
        <v>336.44000244140602</v>
      </c>
      <c r="G175" s="2">
        <v>324.41000366210898</v>
      </c>
      <c r="H175" s="2">
        <v>327.66000366210898</v>
      </c>
      <c r="I175" s="2">
        <v>327.66000366210898</v>
      </c>
      <c r="J175" s="2">
        <v>8625800</v>
      </c>
      <c r="K175" s="42">
        <f t="shared" si="8"/>
        <v>326.66000366210898</v>
      </c>
    </row>
    <row r="176" spans="2:11">
      <c r="B176" t="s">
        <v>16</v>
      </c>
      <c r="C176" s="3" t="s">
        <v>10</v>
      </c>
      <c r="D176" s="1">
        <v>45013</v>
      </c>
      <c r="E176" s="2">
        <v>326.05999755859301</v>
      </c>
      <c r="F176" s="2">
        <v>333.32000732421801</v>
      </c>
      <c r="G176" s="2">
        <v>321.27999877929602</v>
      </c>
      <c r="H176" s="2">
        <v>323.51998901367102</v>
      </c>
      <c r="I176" s="2">
        <v>323.51998901367102</v>
      </c>
      <c r="J176" s="2">
        <v>6489400</v>
      </c>
      <c r="K176" s="42">
        <f t="shared" si="8"/>
        <v>322.51998901367102</v>
      </c>
    </row>
    <row r="177" spans="2:16">
      <c r="B177" t="s">
        <v>16</v>
      </c>
      <c r="C177" s="3" t="s">
        <v>10</v>
      </c>
      <c r="D177" s="1">
        <v>45014</v>
      </c>
      <c r="E177" s="2">
        <v>326.29000854492102</v>
      </c>
      <c r="F177" s="2">
        <v>332.850006103515</v>
      </c>
      <c r="G177" s="2">
        <v>325.73001098632801</v>
      </c>
      <c r="H177" s="2">
        <v>332.02999877929602</v>
      </c>
      <c r="I177" s="2">
        <v>332.02999877929602</v>
      </c>
      <c r="J177" s="2">
        <v>6287300</v>
      </c>
      <c r="K177" s="42">
        <f t="shared" si="8"/>
        <v>331.02999877929602</v>
      </c>
    </row>
    <row r="178" spans="2:16">
      <c r="B178" t="s">
        <v>16</v>
      </c>
      <c r="C178" s="3" t="s">
        <v>10</v>
      </c>
      <c r="D178" s="1">
        <v>45015</v>
      </c>
      <c r="E178" s="2">
        <v>340.26998901367102</v>
      </c>
      <c r="F178" s="2">
        <v>343.29000854492102</v>
      </c>
      <c r="G178" s="2">
        <v>335.29998779296801</v>
      </c>
      <c r="H178" s="2">
        <v>338.42999267578102</v>
      </c>
      <c r="I178" s="2">
        <v>338.42999267578102</v>
      </c>
      <c r="J178" s="2">
        <v>7131500</v>
      </c>
      <c r="K178" s="42">
        <f t="shared" si="8"/>
        <v>337.42999267578102</v>
      </c>
    </row>
    <row r="179" spans="2:16">
      <c r="B179" t="s">
        <v>16</v>
      </c>
      <c r="C179" s="3" t="s">
        <v>10</v>
      </c>
      <c r="D179" s="1">
        <v>45016</v>
      </c>
      <c r="E179" s="2">
        <v>340.04998779296801</v>
      </c>
      <c r="F179" s="2">
        <v>345.83999633789</v>
      </c>
      <c r="G179" s="2">
        <v>337.20001220703102</v>
      </c>
      <c r="H179" s="2">
        <v>345.48001098632801</v>
      </c>
      <c r="I179" s="2">
        <v>345.48001098632801</v>
      </c>
      <c r="J179" s="2">
        <v>5610200</v>
      </c>
      <c r="K179" s="42">
        <f t="shared" si="8"/>
        <v>344.48001098632801</v>
      </c>
    </row>
    <row r="180" spans="2:16">
      <c r="B180" t="s">
        <v>16</v>
      </c>
      <c r="C180" s="3" t="s">
        <v>10</v>
      </c>
      <c r="D180" s="1">
        <v>45019</v>
      </c>
      <c r="E180" s="2">
        <v>341.829986572265</v>
      </c>
      <c r="F180" s="2">
        <v>348.579986572265</v>
      </c>
      <c r="G180" s="2">
        <v>340.39999389648398</v>
      </c>
      <c r="H180" s="2">
        <v>348.27999877929602</v>
      </c>
      <c r="I180" s="2">
        <v>348.27999877929602</v>
      </c>
      <c r="J180" s="2">
        <v>4413700</v>
      </c>
      <c r="K180" s="42">
        <f t="shared" si="8"/>
        <v>347.27999877929602</v>
      </c>
    </row>
    <row r="181" spans="2:16">
      <c r="B181" t="s">
        <v>16</v>
      </c>
      <c r="C181" s="3" t="s">
        <v>10</v>
      </c>
      <c r="D181" s="1">
        <v>45020</v>
      </c>
      <c r="E181" s="2">
        <v>348.489990234375</v>
      </c>
      <c r="F181" s="2">
        <v>349.79998779296801</v>
      </c>
      <c r="G181" s="2">
        <v>343.95001220703102</v>
      </c>
      <c r="H181" s="2">
        <v>346.75</v>
      </c>
      <c r="I181" s="2">
        <v>346.75</v>
      </c>
      <c r="J181" s="2">
        <v>3298100</v>
      </c>
      <c r="K181" s="42">
        <f t="shared" si="8"/>
        <v>345.75</v>
      </c>
      <c r="N181" s="30" t="s">
        <v>39</v>
      </c>
      <c r="O181" s="30"/>
      <c r="P181" s="30"/>
    </row>
    <row r="182" spans="2:16">
      <c r="B182" t="s">
        <v>16</v>
      </c>
      <c r="C182" s="3" t="s">
        <v>10</v>
      </c>
      <c r="D182" s="1">
        <v>45021</v>
      </c>
      <c r="E182" s="2">
        <v>345.29998779296801</v>
      </c>
      <c r="F182" s="2">
        <v>345.42999267578102</v>
      </c>
      <c r="G182" s="2">
        <v>336.25</v>
      </c>
      <c r="H182" s="2">
        <v>342.350006103515</v>
      </c>
      <c r="I182" s="2">
        <v>342.350006103515</v>
      </c>
      <c r="J182" s="2">
        <v>4205500</v>
      </c>
      <c r="K182" s="42">
        <f t="shared" si="8"/>
        <v>341.350006103515</v>
      </c>
    </row>
    <row r="183" spans="2:16">
      <c r="B183" t="s">
        <v>16</v>
      </c>
      <c r="C183" s="3" t="s">
        <v>10</v>
      </c>
      <c r="D183" s="1">
        <v>45022</v>
      </c>
      <c r="E183" s="2">
        <v>339.33999633789</v>
      </c>
      <c r="F183" s="2">
        <v>340.48001098632801</v>
      </c>
      <c r="G183" s="2">
        <v>332.63000488281199</v>
      </c>
      <c r="H183" s="2">
        <v>339.329986572265</v>
      </c>
      <c r="I183" s="2">
        <v>339.329986572265</v>
      </c>
      <c r="J183" s="2">
        <v>4660500</v>
      </c>
      <c r="K183" s="42">
        <f t="shared" si="8"/>
        <v>338.329986572265</v>
      </c>
    </row>
    <row r="184" spans="2:16">
      <c r="B184" t="s">
        <v>16</v>
      </c>
      <c r="C184" s="3" t="s">
        <v>10</v>
      </c>
      <c r="D184" s="1">
        <v>45026</v>
      </c>
      <c r="E184" s="2">
        <v>335.26998901367102</v>
      </c>
      <c r="F184" s="2">
        <v>339.88000488281199</v>
      </c>
      <c r="G184" s="2">
        <v>333.35998535156199</v>
      </c>
      <c r="H184" s="2">
        <v>338.989990234375</v>
      </c>
      <c r="I184" s="2">
        <v>338.989990234375</v>
      </c>
      <c r="J184" s="2">
        <v>2657900</v>
      </c>
      <c r="K184" s="42">
        <f t="shared" si="8"/>
        <v>337.989990234375</v>
      </c>
    </row>
    <row r="185" spans="2:16">
      <c r="B185" t="s">
        <v>16</v>
      </c>
      <c r="C185" s="3" t="s">
        <v>10</v>
      </c>
      <c r="D185" s="1">
        <v>45027</v>
      </c>
      <c r="E185" s="2">
        <v>343.45001220703102</v>
      </c>
      <c r="F185" s="2">
        <v>347.14001464843699</v>
      </c>
      <c r="G185" s="2">
        <v>337.64001464843699</v>
      </c>
      <c r="H185" s="2">
        <v>338.20999145507801</v>
      </c>
      <c r="I185" s="2">
        <v>338.20999145507801</v>
      </c>
      <c r="J185" s="2">
        <v>4044800</v>
      </c>
      <c r="K185" s="42">
        <f t="shared" si="8"/>
        <v>337.20999145507801</v>
      </c>
    </row>
    <row r="186" spans="2:16">
      <c r="B186" t="s">
        <v>16</v>
      </c>
      <c r="C186" s="3" t="s">
        <v>10</v>
      </c>
      <c r="D186" s="1">
        <v>45028</v>
      </c>
      <c r="E186" s="2">
        <v>340.80999755859301</v>
      </c>
      <c r="F186" s="2">
        <v>342.79998779296801</v>
      </c>
      <c r="G186" s="2">
        <v>330.04000854492102</v>
      </c>
      <c r="H186" s="2">
        <v>331.02999877929602</v>
      </c>
      <c r="I186" s="2">
        <v>331.02999877929602</v>
      </c>
      <c r="J186" s="2">
        <v>3965400</v>
      </c>
      <c r="K186" s="42">
        <f t="shared" si="8"/>
        <v>330.02999877929602</v>
      </c>
    </row>
    <row r="187" spans="2:16">
      <c r="B187" t="s">
        <v>16</v>
      </c>
      <c r="C187" s="3" t="s">
        <v>10</v>
      </c>
      <c r="D187" s="1">
        <v>45029</v>
      </c>
      <c r="E187" s="2">
        <v>339.989990234375</v>
      </c>
      <c r="F187" s="2">
        <v>346.42999267578102</v>
      </c>
      <c r="G187" s="2">
        <v>338.75</v>
      </c>
      <c r="H187" s="2">
        <v>346.19000244140602</v>
      </c>
      <c r="I187" s="2">
        <v>346.19000244140602</v>
      </c>
      <c r="J187" s="2">
        <v>7406400</v>
      </c>
      <c r="K187" s="42">
        <f t="shared" si="8"/>
        <v>345.19000244140602</v>
      </c>
    </row>
    <row r="188" spans="2:16">
      <c r="B188" t="s">
        <v>16</v>
      </c>
      <c r="C188" s="3" t="s">
        <v>10</v>
      </c>
      <c r="D188" s="1">
        <v>45030</v>
      </c>
      <c r="E188" s="2">
        <v>342.94000244140602</v>
      </c>
      <c r="F188" s="2">
        <v>344.850006103515</v>
      </c>
      <c r="G188" s="2">
        <v>336.41000366210898</v>
      </c>
      <c r="H188" s="2">
        <v>338.63000488281199</v>
      </c>
      <c r="I188" s="2">
        <v>338.63000488281199</v>
      </c>
      <c r="J188" s="2">
        <v>5350500</v>
      </c>
      <c r="K188" s="42">
        <f t="shared" si="8"/>
        <v>337.63000488281199</v>
      </c>
    </row>
    <row r="189" spans="2:16">
      <c r="B189" t="s">
        <v>16</v>
      </c>
      <c r="C189" s="3" t="s">
        <v>10</v>
      </c>
      <c r="D189" s="1">
        <v>45033</v>
      </c>
      <c r="E189" s="2">
        <v>338</v>
      </c>
      <c r="F189" s="2">
        <v>338.39001464843699</v>
      </c>
      <c r="G189" s="2">
        <v>327.5</v>
      </c>
      <c r="H189" s="2">
        <v>332.72000122070301</v>
      </c>
      <c r="I189" s="2">
        <v>332.72000122070301</v>
      </c>
      <c r="J189" s="2">
        <v>6136000</v>
      </c>
      <c r="K189" s="42">
        <f t="shared" si="8"/>
        <v>331.72000122070301</v>
      </c>
    </row>
    <row r="190" spans="2:16">
      <c r="B190" t="s">
        <v>16</v>
      </c>
      <c r="C190" s="3" t="s">
        <v>10</v>
      </c>
      <c r="D190" s="1">
        <v>45034</v>
      </c>
      <c r="E190" s="2">
        <v>335</v>
      </c>
      <c r="F190" s="2">
        <v>337.19000244140602</v>
      </c>
      <c r="G190" s="2">
        <v>330.5</v>
      </c>
      <c r="H190" s="2">
        <v>333.70001220703102</v>
      </c>
      <c r="I190" s="2">
        <v>333.70001220703102</v>
      </c>
      <c r="J190" s="2">
        <v>17944500</v>
      </c>
      <c r="K190" s="42">
        <f t="shared" si="8"/>
        <v>332.70001220703102</v>
      </c>
    </row>
    <row r="191" spans="2:16">
      <c r="B191" t="s">
        <v>16</v>
      </c>
      <c r="C191" s="3" t="s">
        <v>10</v>
      </c>
      <c r="D191" s="1">
        <v>45035</v>
      </c>
      <c r="E191" s="2">
        <v>324.20999145507801</v>
      </c>
      <c r="F191" s="2">
        <v>325.75</v>
      </c>
      <c r="G191" s="2">
        <v>316.100006103515</v>
      </c>
      <c r="H191" s="2">
        <v>323.11999511718699</v>
      </c>
      <c r="I191" s="2">
        <v>323.11999511718699</v>
      </c>
      <c r="J191" s="2">
        <v>22128300</v>
      </c>
      <c r="K191" s="42">
        <f t="shared" si="8"/>
        <v>322.11999511718699</v>
      </c>
    </row>
    <row r="192" spans="2:16">
      <c r="B192" t="s">
        <v>16</v>
      </c>
      <c r="C192" s="3" t="s">
        <v>10</v>
      </c>
      <c r="D192" s="1">
        <v>45036</v>
      </c>
      <c r="E192" s="2">
        <v>320.39001464843699</v>
      </c>
      <c r="F192" s="2">
        <v>331.42999267578102</v>
      </c>
      <c r="G192" s="2">
        <v>318.329986572265</v>
      </c>
      <c r="H192" s="2">
        <v>325.350006103515</v>
      </c>
      <c r="I192" s="2">
        <v>325.350006103515</v>
      </c>
      <c r="J192" s="2">
        <v>9947800</v>
      </c>
      <c r="K192" s="42">
        <f t="shared" si="8"/>
        <v>324.350006103515</v>
      </c>
    </row>
    <row r="193" spans="2:19">
      <c r="B193" t="s">
        <v>16</v>
      </c>
      <c r="C193" s="3" t="s">
        <v>10</v>
      </c>
      <c r="D193" s="1">
        <v>45037</v>
      </c>
      <c r="E193" s="2">
        <v>323</v>
      </c>
      <c r="F193" s="2">
        <v>328.29000854492102</v>
      </c>
      <c r="G193" s="2">
        <v>319.5</v>
      </c>
      <c r="H193" s="2">
        <v>327.98001098632801</v>
      </c>
      <c r="I193" s="2">
        <v>327.98001098632801</v>
      </c>
      <c r="J193" s="2">
        <v>6348000</v>
      </c>
      <c r="K193" s="42">
        <f t="shared" si="8"/>
        <v>326.98001098632801</v>
      </c>
    </row>
    <row r="194" spans="2:19">
      <c r="B194" t="s">
        <v>16</v>
      </c>
      <c r="C194" s="3" t="s">
        <v>10</v>
      </c>
      <c r="D194" s="1">
        <v>45040</v>
      </c>
      <c r="E194" s="2">
        <v>330.20001220703102</v>
      </c>
      <c r="F194" s="2">
        <v>334.66000366210898</v>
      </c>
      <c r="G194" s="2">
        <v>326.75</v>
      </c>
      <c r="H194" s="2">
        <v>329.01998901367102</v>
      </c>
      <c r="I194" s="2">
        <v>329.01998901367102</v>
      </c>
      <c r="J194" s="2">
        <v>5586600</v>
      </c>
      <c r="K194" s="42">
        <f t="shared" si="8"/>
        <v>328.01998901367102</v>
      </c>
    </row>
    <row r="195" spans="2:19">
      <c r="B195" t="s">
        <v>16</v>
      </c>
      <c r="C195" s="3" t="s">
        <v>10</v>
      </c>
      <c r="D195" s="1">
        <v>45041</v>
      </c>
      <c r="E195" s="2">
        <v>328.5</v>
      </c>
      <c r="F195" s="2">
        <v>328.66000366210898</v>
      </c>
      <c r="G195" s="2">
        <v>321.100006103515</v>
      </c>
      <c r="H195" s="2">
        <v>322.54998779296801</v>
      </c>
      <c r="I195" s="2">
        <v>322.54998779296801</v>
      </c>
      <c r="J195" s="2">
        <v>5426600</v>
      </c>
      <c r="K195" s="42">
        <f t="shared" si="8"/>
        <v>321.54998779296801</v>
      </c>
    </row>
    <row r="196" spans="2:19">
      <c r="B196" t="s">
        <v>16</v>
      </c>
      <c r="C196" s="3" t="s">
        <v>10</v>
      </c>
      <c r="D196" s="1">
        <v>45042</v>
      </c>
      <c r="E196" s="2">
        <v>321.35998535156199</v>
      </c>
      <c r="F196" s="2">
        <v>325.89999389648398</v>
      </c>
      <c r="G196" s="2">
        <v>320.47000122070301</v>
      </c>
      <c r="H196" s="2">
        <v>321.14999389648398</v>
      </c>
      <c r="I196" s="2">
        <v>321.14999389648398</v>
      </c>
      <c r="J196" s="2">
        <v>4623200</v>
      </c>
      <c r="K196" s="42">
        <f t="shared" si="8"/>
        <v>320.14999389648398</v>
      </c>
    </row>
    <row r="197" spans="2:19">
      <c r="B197" t="s">
        <v>16</v>
      </c>
      <c r="C197" s="3" t="s">
        <v>10</v>
      </c>
      <c r="D197" s="1">
        <v>45043</v>
      </c>
      <c r="E197" s="2">
        <v>324.29998779296801</v>
      </c>
      <c r="F197" s="2">
        <v>327.45001220703102</v>
      </c>
      <c r="G197" s="2">
        <v>317.44000244140602</v>
      </c>
      <c r="H197" s="2">
        <v>325.850006103515</v>
      </c>
      <c r="I197" s="2">
        <v>325.850006103515</v>
      </c>
      <c r="J197" s="2">
        <v>5618800</v>
      </c>
      <c r="K197" s="42">
        <f t="shared" si="8"/>
        <v>324.850006103515</v>
      </c>
    </row>
    <row r="198" spans="2:19">
      <c r="B198" t="s">
        <v>16</v>
      </c>
      <c r="C198" s="3" t="s">
        <v>10</v>
      </c>
      <c r="D198" s="1">
        <v>45044</v>
      </c>
      <c r="E198" s="2">
        <v>325.239990234375</v>
      </c>
      <c r="F198" s="2">
        <v>330.80999755859301</v>
      </c>
      <c r="G198" s="2">
        <v>324</v>
      </c>
      <c r="H198" s="2">
        <v>329.92999267578102</v>
      </c>
      <c r="I198" s="2">
        <v>329.92999267578102</v>
      </c>
      <c r="J198" s="2">
        <v>4221900</v>
      </c>
      <c r="K198" s="42">
        <f t="shared" si="8"/>
        <v>328.92999267578102</v>
      </c>
    </row>
    <row r="199" spans="2:19">
      <c r="B199" t="s">
        <v>16</v>
      </c>
      <c r="C199" s="3" t="s">
        <v>10</v>
      </c>
      <c r="D199" s="1">
        <v>45047</v>
      </c>
      <c r="E199" s="2">
        <v>329.44000244140602</v>
      </c>
      <c r="F199" s="2">
        <v>331.23001098632801</v>
      </c>
      <c r="G199" s="2">
        <v>318.08999633789</v>
      </c>
      <c r="H199" s="2">
        <v>324.11999511718699</v>
      </c>
      <c r="I199" s="2">
        <v>324.11999511718699</v>
      </c>
      <c r="J199" s="2">
        <v>5341500</v>
      </c>
      <c r="K199" s="42">
        <f t="shared" si="8"/>
        <v>323.11999511718699</v>
      </c>
    </row>
    <row r="200" spans="2:19">
      <c r="B200" t="s">
        <v>16</v>
      </c>
      <c r="C200" s="3" t="s">
        <v>10</v>
      </c>
      <c r="D200" s="1">
        <v>45048</v>
      </c>
      <c r="E200" s="2">
        <v>325</v>
      </c>
      <c r="F200" s="2">
        <v>326.07000732421801</v>
      </c>
      <c r="G200" s="2">
        <v>315.61999511718699</v>
      </c>
      <c r="H200" s="2">
        <v>317.54998779296801</v>
      </c>
      <c r="I200" s="2">
        <v>317.54998779296801</v>
      </c>
      <c r="J200" s="2">
        <v>4318600</v>
      </c>
      <c r="K200" s="42">
        <f t="shared" si="8"/>
        <v>316.54998779296801</v>
      </c>
    </row>
    <row r="201" spans="2:19">
      <c r="B201" t="s">
        <v>16</v>
      </c>
      <c r="C201" s="3" t="s">
        <v>10</v>
      </c>
      <c r="D201" s="1">
        <v>45049</v>
      </c>
      <c r="E201" s="2">
        <v>317.54998779296801</v>
      </c>
      <c r="F201" s="2">
        <v>324.61999511718699</v>
      </c>
      <c r="G201" s="2">
        <v>315.850006103515</v>
      </c>
      <c r="H201" s="2">
        <v>319.29998779296801</v>
      </c>
      <c r="I201" s="2">
        <v>319.29998779296801</v>
      </c>
      <c r="J201" s="2">
        <v>5064100</v>
      </c>
      <c r="K201" s="42">
        <f t="shared" si="8"/>
        <v>318.29998779296801</v>
      </c>
    </row>
    <row r="202" spans="2:19">
      <c r="B202" t="s">
        <v>16</v>
      </c>
      <c r="C202" s="3" t="s">
        <v>10</v>
      </c>
      <c r="D202" s="1">
        <v>45050</v>
      </c>
      <c r="E202" s="2">
        <v>319.010009765625</v>
      </c>
      <c r="F202" s="2">
        <v>323.60998535156199</v>
      </c>
      <c r="G202" s="2">
        <v>317.95001220703102</v>
      </c>
      <c r="H202" s="2">
        <v>320.77999877929602</v>
      </c>
      <c r="I202" s="2">
        <v>320.77999877929602</v>
      </c>
      <c r="J202" s="2">
        <v>3879700</v>
      </c>
      <c r="K202" s="42">
        <f t="shared" si="8"/>
        <v>319.77999877929602</v>
      </c>
    </row>
    <row r="203" spans="2:19">
      <c r="B203" t="s">
        <v>16</v>
      </c>
      <c r="C203" s="3" t="s">
        <v>10</v>
      </c>
      <c r="D203" s="1">
        <v>45051</v>
      </c>
      <c r="E203" s="2">
        <v>323.60998535156199</v>
      </c>
      <c r="F203" s="2">
        <v>324.14999389648398</v>
      </c>
      <c r="G203" s="2">
        <v>319.44000244140602</v>
      </c>
      <c r="H203" s="2">
        <v>322.760009765625</v>
      </c>
      <c r="I203" s="2">
        <v>322.760009765625</v>
      </c>
      <c r="J203" s="2">
        <v>3988600</v>
      </c>
      <c r="K203" s="42">
        <f t="shared" si="8"/>
        <v>321.760009765625</v>
      </c>
    </row>
    <row r="204" spans="2:19" ht="15.75" thickBot="1">
      <c r="C204" s="3"/>
      <c r="D204" s="1"/>
      <c r="E204" s="2"/>
      <c r="F204" s="2"/>
      <c r="G204" s="2"/>
      <c r="H204" s="2"/>
      <c r="I204" s="2"/>
      <c r="J204" s="2"/>
      <c r="K204" s="37"/>
    </row>
    <row r="205" spans="2:19" ht="18" customHeight="1">
      <c r="B205" s="43"/>
      <c r="C205" s="45"/>
      <c r="D205" s="46"/>
      <c r="E205" s="48"/>
      <c r="F205" s="50" t="s">
        <v>17</v>
      </c>
      <c r="G205" s="50"/>
      <c r="H205" s="48"/>
      <c r="I205" s="48"/>
      <c r="J205" s="48"/>
      <c r="K205" s="48"/>
    </row>
    <row r="206" spans="2:19" s="9" customFormat="1">
      <c r="B206" s="10" t="str">
        <f>B140</f>
        <v>Comp Name</v>
      </c>
      <c r="C206" s="7" t="str">
        <f>C140</f>
        <v>Ticker</v>
      </c>
      <c r="D206" s="10" t="str">
        <f t="shared" ref="D206:J206" si="9">D140</f>
        <v>Date</v>
      </c>
      <c r="E206" s="10" t="str">
        <f t="shared" si="9"/>
        <v>Open</v>
      </c>
      <c r="F206" s="10" t="str">
        <f t="shared" si="9"/>
        <v>High</v>
      </c>
      <c r="G206" s="10" t="str">
        <f t="shared" si="9"/>
        <v>Low</v>
      </c>
      <c r="H206" s="10" t="str">
        <f t="shared" si="9"/>
        <v>Close</v>
      </c>
      <c r="I206" s="10" t="str">
        <f t="shared" si="9"/>
        <v>Adj Close</v>
      </c>
      <c r="J206" s="10" t="str">
        <f t="shared" si="9"/>
        <v>Volume</v>
      </c>
      <c r="K206" s="10" t="str">
        <f>K140</f>
        <v>Daily returns</v>
      </c>
      <c r="N206" s="30" t="s">
        <v>21</v>
      </c>
      <c r="O206" s="30"/>
      <c r="P206" s="30"/>
      <c r="S206" s="17"/>
    </row>
    <row r="207" spans="2:19">
      <c r="B207" s="9"/>
      <c r="C207" s="8"/>
      <c r="D207" s="11"/>
      <c r="E207" s="11"/>
      <c r="F207" s="11"/>
      <c r="G207" s="11"/>
      <c r="H207" s="11"/>
      <c r="I207" s="11"/>
      <c r="J207" s="11"/>
      <c r="K207" s="11"/>
    </row>
    <row r="208" spans="2:19">
      <c r="B208" t="s">
        <v>17</v>
      </c>
      <c r="C208" s="3" t="s">
        <v>11</v>
      </c>
      <c r="D208" s="1">
        <v>44964</v>
      </c>
      <c r="E208" s="2">
        <v>103.629997253417</v>
      </c>
      <c r="F208" s="2">
        <v>108.669998168945</v>
      </c>
      <c r="G208" s="2">
        <v>103.54799652099599</v>
      </c>
      <c r="H208" s="2">
        <v>108.040000915527</v>
      </c>
      <c r="I208" s="2">
        <v>108.040000915527</v>
      </c>
      <c r="J208" s="2">
        <v>33738800</v>
      </c>
      <c r="K208" s="2"/>
    </row>
    <row r="209" spans="2:11">
      <c r="B209" t="s">
        <v>17</v>
      </c>
      <c r="C209" s="3" t="s">
        <v>11</v>
      </c>
      <c r="D209" s="1">
        <v>44965</v>
      </c>
      <c r="E209" s="2">
        <v>102.69000244140599</v>
      </c>
      <c r="F209" s="2">
        <v>103.58000183105401</v>
      </c>
      <c r="G209" s="2">
        <v>98.455001831054602</v>
      </c>
      <c r="H209" s="2">
        <v>100</v>
      </c>
      <c r="I209" s="2">
        <v>100</v>
      </c>
      <c r="J209" s="2">
        <v>73546000</v>
      </c>
      <c r="K209" s="42">
        <f>I209-I208/I208</f>
        <v>99</v>
      </c>
    </row>
    <row r="210" spans="2:11">
      <c r="B210" t="s">
        <v>17</v>
      </c>
      <c r="C210" s="3" t="s">
        <v>11</v>
      </c>
      <c r="D210" s="1">
        <v>44966</v>
      </c>
      <c r="E210" s="2">
        <v>100.540000915527</v>
      </c>
      <c r="F210" s="2">
        <v>100.61000061035099</v>
      </c>
      <c r="G210" s="2">
        <v>93.860000610351506</v>
      </c>
      <c r="H210" s="2">
        <v>95.459999084472599</v>
      </c>
      <c r="I210" s="2">
        <v>95.459999084472599</v>
      </c>
      <c r="J210" s="2">
        <v>97798600</v>
      </c>
      <c r="K210" s="42">
        <f t="shared" ref="K210:K269" si="10">I210-I209/I209</f>
        <v>94.459999084472599</v>
      </c>
    </row>
    <row r="211" spans="2:11">
      <c r="B211" t="s">
        <v>17</v>
      </c>
      <c r="C211" s="3" t="s">
        <v>11</v>
      </c>
      <c r="D211" s="1">
        <v>44967</v>
      </c>
      <c r="E211" s="2">
        <v>95.739997863769503</v>
      </c>
      <c r="F211" s="2">
        <v>97.019996643066406</v>
      </c>
      <c r="G211" s="2">
        <v>94.529998779296804</v>
      </c>
      <c r="H211" s="2">
        <v>94.860000610351506</v>
      </c>
      <c r="I211" s="2">
        <v>94.860000610351506</v>
      </c>
      <c r="J211" s="2">
        <v>49325300</v>
      </c>
      <c r="K211" s="42">
        <f t="shared" si="10"/>
        <v>93.860000610351506</v>
      </c>
    </row>
    <row r="212" spans="2:11">
      <c r="B212" t="s">
        <v>17</v>
      </c>
      <c r="C212" s="3" t="s">
        <v>11</v>
      </c>
      <c r="D212" s="1">
        <v>44970</v>
      </c>
      <c r="E212" s="2">
        <v>95.010002136230398</v>
      </c>
      <c r="F212" s="2">
        <v>95.349998474121094</v>
      </c>
      <c r="G212" s="2">
        <v>94.050003051757798</v>
      </c>
      <c r="H212" s="2">
        <v>95</v>
      </c>
      <c r="I212" s="2">
        <v>95</v>
      </c>
      <c r="J212" s="2">
        <v>43116600</v>
      </c>
      <c r="K212" s="42">
        <f t="shared" si="10"/>
        <v>94</v>
      </c>
    </row>
    <row r="213" spans="2:11">
      <c r="B213" t="s">
        <v>17</v>
      </c>
      <c r="C213" s="3" t="s">
        <v>11</v>
      </c>
      <c r="D213" s="1">
        <v>44971</v>
      </c>
      <c r="E213" s="2">
        <v>94.660003662109304</v>
      </c>
      <c r="F213" s="2">
        <v>95.175003051757798</v>
      </c>
      <c r="G213" s="2">
        <v>92.650001525878906</v>
      </c>
      <c r="H213" s="2">
        <v>94.949996948242102</v>
      </c>
      <c r="I213" s="2">
        <v>94.949996948242102</v>
      </c>
      <c r="J213" s="2">
        <v>42513100</v>
      </c>
      <c r="K213" s="42">
        <f t="shared" si="10"/>
        <v>93.949996948242102</v>
      </c>
    </row>
    <row r="214" spans="2:11">
      <c r="B214" t="s">
        <v>17</v>
      </c>
      <c r="C214" s="3" t="s">
        <v>11</v>
      </c>
      <c r="D214" s="1">
        <v>44972</v>
      </c>
      <c r="E214" s="2">
        <v>94.739997863769503</v>
      </c>
      <c r="F214" s="2">
        <v>97.339996337890597</v>
      </c>
      <c r="G214" s="2">
        <v>94.360000610351506</v>
      </c>
      <c r="H214" s="2">
        <v>97.099998474121094</v>
      </c>
      <c r="I214" s="2">
        <v>97.099998474121094</v>
      </c>
      <c r="J214" s="2">
        <v>36964500</v>
      </c>
      <c r="K214" s="42">
        <f t="shared" si="10"/>
        <v>96.099998474121094</v>
      </c>
    </row>
    <row r="215" spans="2:11">
      <c r="B215" t="s">
        <v>17</v>
      </c>
      <c r="C215" s="3" t="s">
        <v>11</v>
      </c>
      <c r="D215" s="1">
        <v>44973</v>
      </c>
      <c r="E215" s="2">
        <v>95.540000915527301</v>
      </c>
      <c r="F215" s="2">
        <v>97.879997253417898</v>
      </c>
      <c r="G215" s="2">
        <v>94.970001220703097</v>
      </c>
      <c r="H215" s="2">
        <v>95.779998779296804</v>
      </c>
      <c r="I215" s="2">
        <v>95.779998779296804</v>
      </c>
      <c r="J215" s="2">
        <v>35642100</v>
      </c>
      <c r="K215" s="42">
        <f t="shared" si="10"/>
        <v>94.779998779296804</v>
      </c>
    </row>
    <row r="216" spans="2:11">
      <c r="B216" t="s">
        <v>17</v>
      </c>
      <c r="C216" s="3" t="s">
        <v>11</v>
      </c>
      <c r="D216" s="1">
        <v>44974</v>
      </c>
      <c r="E216" s="2">
        <v>95.069999694824205</v>
      </c>
      <c r="F216" s="2">
        <v>95.75</v>
      </c>
      <c r="G216" s="2">
        <v>93.449996948242102</v>
      </c>
      <c r="H216" s="2">
        <v>94.589996337890597</v>
      </c>
      <c r="I216" s="2">
        <v>94.589996337890597</v>
      </c>
      <c r="J216" s="2">
        <v>31095100</v>
      </c>
      <c r="K216" s="42">
        <f t="shared" si="10"/>
        <v>93.589996337890597</v>
      </c>
    </row>
    <row r="217" spans="2:11">
      <c r="B217" t="s">
        <v>17</v>
      </c>
      <c r="C217" s="3" t="s">
        <v>11</v>
      </c>
      <c r="D217" s="1">
        <v>44978</v>
      </c>
      <c r="E217" s="2">
        <v>93.239997863769503</v>
      </c>
      <c r="F217" s="2">
        <v>93.415000915527301</v>
      </c>
      <c r="G217" s="2">
        <v>92</v>
      </c>
      <c r="H217" s="2">
        <v>92.050003051757798</v>
      </c>
      <c r="I217" s="2">
        <v>92.050003051757798</v>
      </c>
      <c r="J217" s="2">
        <v>28367200</v>
      </c>
      <c r="K217" s="42">
        <f t="shared" si="10"/>
        <v>91.050003051757798</v>
      </c>
    </row>
    <row r="218" spans="2:11">
      <c r="B218" t="s">
        <v>17</v>
      </c>
      <c r="C218" s="3" t="s">
        <v>11</v>
      </c>
      <c r="D218" s="1">
        <v>44979</v>
      </c>
      <c r="E218" s="2">
        <v>91.933998107910099</v>
      </c>
      <c r="F218" s="2">
        <v>92.360000610351506</v>
      </c>
      <c r="G218" s="2">
        <v>90.870002746582003</v>
      </c>
      <c r="H218" s="2">
        <v>91.800003051757798</v>
      </c>
      <c r="I218" s="2">
        <v>91.800003051757798</v>
      </c>
      <c r="J218" s="2">
        <v>29891100</v>
      </c>
      <c r="K218" s="42">
        <f t="shared" si="10"/>
        <v>90.800003051757798</v>
      </c>
    </row>
    <row r="219" spans="2:11">
      <c r="B219" t="s">
        <v>17</v>
      </c>
      <c r="C219" s="3" t="s">
        <v>11</v>
      </c>
      <c r="D219" s="1">
        <v>44980</v>
      </c>
      <c r="E219" s="2">
        <v>92.129997253417898</v>
      </c>
      <c r="F219" s="2">
        <v>92.129997253417898</v>
      </c>
      <c r="G219" s="2">
        <v>90.010002136230398</v>
      </c>
      <c r="H219" s="2">
        <v>91.069999694824205</v>
      </c>
      <c r="I219" s="2">
        <v>91.069999694824205</v>
      </c>
      <c r="J219" s="2">
        <v>32423700</v>
      </c>
      <c r="K219" s="42">
        <f t="shared" si="10"/>
        <v>90.069999694824205</v>
      </c>
    </row>
    <row r="220" spans="2:11">
      <c r="B220" t="s">
        <v>17</v>
      </c>
      <c r="C220" s="3" t="s">
        <v>11</v>
      </c>
      <c r="D220" s="1">
        <v>44981</v>
      </c>
      <c r="E220" s="2">
        <v>89.629997253417898</v>
      </c>
      <c r="F220" s="2">
        <v>90.129997253417898</v>
      </c>
      <c r="G220" s="2">
        <v>88.860000610351506</v>
      </c>
      <c r="H220" s="2">
        <v>89.349998474121094</v>
      </c>
      <c r="I220" s="2">
        <v>89.349998474121094</v>
      </c>
      <c r="J220" s="2">
        <v>31295600</v>
      </c>
      <c r="K220" s="42">
        <f t="shared" si="10"/>
        <v>88.349998474121094</v>
      </c>
    </row>
    <row r="221" spans="2:11">
      <c r="B221" t="s">
        <v>17</v>
      </c>
      <c r="C221" s="3" t="s">
        <v>11</v>
      </c>
      <c r="D221" s="1">
        <v>44984</v>
      </c>
      <c r="E221" s="2">
        <v>90.089996337890597</v>
      </c>
      <c r="F221" s="2">
        <v>90.449996948242102</v>
      </c>
      <c r="G221" s="2">
        <v>89.610000610351506</v>
      </c>
      <c r="H221" s="2">
        <v>90.099998474121094</v>
      </c>
      <c r="I221" s="2">
        <v>90.099998474121094</v>
      </c>
      <c r="J221" s="2">
        <v>22724300</v>
      </c>
      <c r="K221" s="42">
        <f t="shared" si="10"/>
        <v>89.099998474121094</v>
      </c>
    </row>
    <row r="222" spans="2:11">
      <c r="B222" t="s">
        <v>17</v>
      </c>
      <c r="C222" s="3" t="s">
        <v>11</v>
      </c>
      <c r="D222" s="1">
        <v>44985</v>
      </c>
      <c r="E222" s="2">
        <v>89.540000915527301</v>
      </c>
      <c r="F222" s="2">
        <v>91.449996948242102</v>
      </c>
      <c r="G222" s="2">
        <v>89.519996643066406</v>
      </c>
      <c r="H222" s="2">
        <v>90.300003051757798</v>
      </c>
      <c r="I222" s="2">
        <v>90.300003051757798</v>
      </c>
      <c r="J222" s="2">
        <v>30546900</v>
      </c>
      <c r="K222" s="42">
        <f t="shared" si="10"/>
        <v>89.300003051757798</v>
      </c>
    </row>
    <row r="223" spans="2:11">
      <c r="B223" t="s">
        <v>17</v>
      </c>
      <c r="C223" s="3" t="s">
        <v>11</v>
      </c>
      <c r="D223" s="1">
        <v>44986</v>
      </c>
      <c r="E223" s="2">
        <v>90.160003662109304</v>
      </c>
      <c r="F223" s="2">
        <v>91.199996948242102</v>
      </c>
      <c r="G223" s="2">
        <v>89.849998474121094</v>
      </c>
      <c r="H223" s="2">
        <v>90.510002136230398</v>
      </c>
      <c r="I223" s="2">
        <v>90.510002136230398</v>
      </c>
      <c r="J223" s="2">
        <v>26323900</v>
      </c>
      <c r="K223" s="42">
        <f t="shared" si="10"/>
        <v>89.510002136230398</v>
      </c>
    </row>
    <row r="224" spans="2:11">
      <c r="B224" t="s">
        <v>17</v>
      </c>
      <c r="C224" s="3" t="s">
        <v>11</v>
      </c>
      <c r="D224" s="1">
        <v>44987</v>
      </c>
      <c r="E224" s="2">
        <v>89.860000610351506</v>
      </c>
      <c r="F224" s="2">
        <v>92.480003356933594</v>
      </c>
      <c r="G224" s="2">
        <v>89.769996643066406</v>
      </c>
      <c r="H224" s="2">
        <v>92.309997558593693</v>
      </c>
      <c r="I224" s="2">
        <v>92.309997558593693</v>
      </c>
      <c r="J224" s="2">
        <v>23328600</v>
      </c>
      <c r="K224" s="42">
        <f t="shared" si="10"/>
        <v>91.309997558593693</v>
      </c>
    </row>
    <row r="225" spans="2:16">
      <c r="B225" t="s">
        <v>17</v>
      </c>
      <c r="C225" s="3" t="s">
        <v>11</v>
      </c>
      <c r="D225" s="1">
        <v>44988</v>
      </c>
      <c r="E225" s="2">
        <v>92.739997863769503</v>
      </c>
      <c r="F225" s="2">
        <v>94.110000610351506</v>
      </c>
      <c r="G225" s="2">
        <v>92.660003662109304</v>
      </c>
      <c r="H225" s="2">
        <v>94.019996643066406</v>
      </c>
      <c r="I225" s="2">
        <v>94.019996643066406</v>
      </c>
      <c r="J225" s="2">
        <v>30242500</v>
      </c>
      <c r="K225" s="42">
        <f t="shared" si="10"/>
        <v>93.019996643066406</v>
      </c>
      <c r="N225" s="29" t="s">
        <v>31</v>
      </c>
      <c r="O225" s="29"/>
      <c r="P225" s="29"/>
    </row>
    <row r="226" spans="2:16">
      <c r="B226" t="s">
        <v>17</v>
      </c>
      <c r="C226" s="3" t="s">
        <v>11</v>
      </c>
      <c r="D226" s="1">
        <v>44991</v>
      </c>
      <c r="E226" s="2">
        <v>94.360000610351506</v>
      </c>
      <c r="F226" s="2">
        <v>96.300003051757798</v>
      </c>
      <c r="G226" s="2">
        <v>94.300003051757798</v>
      </c>
      <c r="H226" s="2">
        <v>95.580001831054602</v>
      </c>
      <c r="I226" s="2">
        <v>95.580001831054602</v>
      </c>
      <c r="J226" s="2">
        <v>28288200</v>
      </c>
      <c r="K226" s="42">
        <f t="shared" si="10"/>
        <v>94.580001831054602</v>
      </c>
    </row>
    <row r="227" spans="2:16">
      <c r="B227" t="s">
        <v>17</v>
      </c>
      <c r="C227" s="3" t="s">
        <v>11</v>
      </c>
      <c r="D227" s="1">
        <v>44992</v>
      </c>
      <c r="E227" s="2">
        <v>95.419998168945298</v>
      </c>
      <c r="F227" s="2">
        <v>96.089996337890597</v>
      </c>
      <c r="G227" s="2">
        <v>93.844001770019503</v>
      </c>
      <c r="H227" s="2">
        <v>94.169998168945298</v>
      </c>
      <c r="I227" s="2">
        <v>94.169998168945298</v>
      </c>
      <c r="J227" s="2">
        <v>24101500</v>
      </c>
      <c r="K227" s="42">
        <f t="shared" si="10"/>
        <v>93.169998168945298</v>
      </c>
    </row>
    <row r="228" spans="2:16">
      <c r="B228" t="s">
        <v>17</v>
      </c>
      <c r="C228" s="3" t="s">
        <v>11</v>
      </c>
      <c r="D228" s="1">
        <v>44993</v>
      </c>
      <c r="E228" s="2">
        <v>94.404998779296804</v>
      </c>
      <c r="F228" s="2">
        <v>96.239997863769503</v>
      </c>
      <c r="G228" s="2">
        <v>94.404998779296804</v>
      </c>
      <c r="H228" s="2">
        <v>94.650001525878906</v>
      </c>
      <c r="I228" s="2">
        <v>94.650001525878906</v>
      </c>
      <c r="J228" s="2">
        <v>25395200</v>
      </c>
      <c r="K228" s="42">
        <f t="shared" si="10"/>
        <v>93.650001525878906</v>
      </c>
    </row>
    <row r="229" spans="2:16">
      <c r="B229" t="s">
        <v>17</v>
      </c>
      <c r="C229" s="3" t="s">
        <v>11</v>
      </c>
      <c r="D229" s="1">
        <v>44994</v>
      </c>
      <c r="E229" s="2">
        <v>94.489997863769503</v>
      </c>
      <c r="F229" s="2">
        <v>95.919998168945298</v>
      </c>
      <c r="G229" s="2">
        <v>92.355003356933594</v>
      </c>
      <c r="H229" s="2">
        <v>92.660003662109304</v>
      </c>
      <c r="I229" s="2">
        <v>92.660003662109304</v>
      </c>
      <c r="J229" s="2">
        <v>24438900</v>
      </c>
      <c r="K229" s="42">
        <f t="shared" si="10"/>
        <v>91.660003662109304</v>
      </c>
    </row>
    <row r="230" spans="2:16">
      <c r="B230" t="s">
        <v>17</v>
      </c>
      <c r="C230" s="3" t="s">
        <v>11</v>
      </c>
      <c r="D230" s="1">
        <v>44995</v>
      </c>
      <c r="E230" s="2">
        <v>92.5</v>
      </c>
      <c r="F230" s="2">
        <v>93.180000305175696</v>
      </c>
      <c r="G230" s="2">
        <v>90.800003051757798</v>
      </c>
      <c r="H230" s="2">
        <v>91.010002136230398</v>
      </c>
      <c r="I230" s="2">
        <v>91.010002136230398</v>
      </c>
      <c r="J230" s="2">
        <v>32850100</v>
      </c>
      <c r="K230" s="42">
        <f t="shared" si="10"/>
        <v>90.010002136230398</v>
      </c>
    </row>
    <row r="231" spans="2:16">
      <c r="B231" t="s">
        <v>17</v>
      </c>
      <c r="C231" s="3" t="s">
        <v>11</v>
      </c>
      <c r="D231" s="1">
        <v>44998</v>
      </c>
      <c r="E231" s="2">
        <v>90.565002441406193</v>
      </c>
      <c r="F231" s="2">
        <v>93.080001831054602</v>
      </c>
      <c r="G231" s="2">
        <v>89.940002441406193</v>
      </c>
      <c r="H231" s="2">
        <v>91.660003662109304</v>
      </c>
      <c r="I231" s="2">
        <v>91.660003662109304</v>
      </c>
      <c r="J231" s="2">
        <v>31508600</v>
      </c>
      <c r="K231" s="42">
        <f t="shared" si="10"/>
        <v>90.660003662109304</v>
      </c>
    </row>
    <row r="232" spans="2:16">
      <c r="B232" t="s">
        <v>17</v>
      </c>
      <c r="C232" s="3" t="s">
        <v>11</v>
      </c>
      <c r="D232" s="1">
        <v>44999</v>
      </c>
      <c r="E232" s="2">
        <v>93.069999694824205</v>
      </c>
      <c r="F232" s="2">
        <v>94.830001831054602</v>
      </c>
      <c r="G232" s="2">
        <v>92.779998779296804</v>
      </c>
      <c r="H232" s="2">
        <v>94.25</v>
      </c>
      <c r="I232" s="2">
        <v>94.25</v>
      </c>
      <c r="J232" s="2">
        <v>32303900</v>
      </c>
      <c r="K232" s="42">
        <f t="shared" si="10"/>
        <v>93.25</v>
      </c>
    </row>
    <row r="233" spans="2:16">
      <c r="B233" t="s">
        <v>17</v>
      </c>
      <c r="C233" s="3" t="s">
        <v>11</v>
      </c>
      <c r="D233" s="1">
        <v>45000</v>
      </c>
      <c r="E233" s="2">
        <v>93.540000915527301</v>
      </c>
      <c r="F233" s="2">
        <v>97.25</v>
      </c>
      <c r="G233" s="2">
        <v>93.040000915527301</v>
      </c>
      <c r="H233" s="2">
        <v>96.550003051757798</v>
      </c>
      <c r="I233" s="2">
        <v>96.550003051757798</v>
      </c>
      <c r="J233" s="2">
        <v>38367300</v>
      </c>
      <c r="K233" s="42">
        <f t="shared" si="10"/>
        <v>95.550003051757798</v>
      </c>
    </row>
    <row r="234" spans="2:16">
      <c r="B234" t="s">
        <v>17</v>
      </c>
      <c r="C234" s="3" t="s">
        <v>11</v>
      </c>
      <c r="D234" s="1">
        <v>45001</v>
      </c>
      <c r="E234" s="2">
        <v>96.569999694824205</v>
      </c>
      <c r="F234" s="2">
        <v>101.970001220703</v>
      </c>
      <c r="G234" s="2">
        <v>95.870002746582003</v>
      </c>
      <c r="H234" s="2">
        <v>101.06999969482401</v>
      </c>
      <c r="I234" s="2">
        <v>101.06999969482401</v>
      </c>
      <c r="J234" s="2">
        <v>54499500</v>
      </c>
      <c r="K234" s="42">
        <f t="shared" si="10"/>
        <v>100.06999969482401</v>
      </c>
    </row>
    <row r="235" spans="2:16">
      <c r="B235" t="s">
        <v>17</v>
      </c>
      <c r="C235" s="3" t="s">
        <v>11</v>
      </c>
      <c r="D235" s="1">
        <v>45002</v>
      </c>
      <c r="E235" s="2">
        <v>100.83999633789</v>
      </c>
      <c r="F235" s="2">
        <v>103.48999786376901</v>
      </c>
      <c r="G235" s="2">
        <v>100.75</v>
      </c>
      <c r="H235" s="2">
        <v>102.459999084472</v>
      </c>
      <c r="I235" s="2">
        <v>102.459999084472</v>
      </c>
      <c r="J235" s="2">
        <v>76140300</v>
      </c>
      <c r="K235" s="42">
        <f t="shared" si="10"/>
        <v>101.459999084472</v>
      </c>
    </row>
    <row r="236" spans="2:16">
      <c r="B236" t="s">
        <v>17</v>
      </c>
      <c r="C236" s="3" t="s">
        <v>11</v>
      </c>
      <c r="D236" s="1">
        <v>45005</v>
      </c>
      <c r="E236" s="2">
        <v>101.059997558593</v>
      </c>
      <c r="F236" s="2">
        <v>102.58000183105401</v>
      </c>
      <c r="G236" s="2">
        <v>100.790000915527</v>
      </c>
      <c r="H236" s="2">
        <v>101.930000305175</v>
      </c>
      <c r="I236" s="2">
        <v>101.930000305175</v>
      </c>
      <c r="J236" s="2">
        <v>26033900</v>
      </c>
      <c r="K236" s="42">
        <f t="shared" si="10"/>
        <v>100.930000305175</v>
      </c>
    </row>
    <row r="237" spans="2:16">
      <c r="B237" t="s">
        <v>17</v>
      </c>
      <c r="C237" s="3" t="s">
        <v>11</v>
      </c>
      <c r="D237" s="1">
        <v>45006</v>
      </c>
      <c r="E237" s="2">
        <v>101.980003356933</v>
      </c>
      <c r="F237" s="2">
        <v>105.959999084472</v>
      </c>
      <c r="G237" s="2">
        <v>101.86000061035099</v>
      </c>
      <c r="H237" s="2">
        <v>105.83999633789</v>
      </c>
      <c r="I237" s="2">
        <v>105.83999633789</v>
      </c>
      <c r="J237" s="2">
        <v>33122800</v>
      </c>
      <c r="K237" s="42">
        <f t="shared" si="10"/>
        <v>104.83999633789</v>
      </c>
    </row>
    <row r="238" spans="2:16">
      <c r="B238" t="s">
        <v>17</v>
      </c>
      <c r="C238" s="3" t="s">
        <v>11</v>
      </c>
      <c r="D238" s="1">
        <v>45007</v>
      </c>
      <c r="E238" s="2">
        <v>105.139999389648</v>
      </c>
      <c r="F238" s="2">
        <v>107.51000213623</v>
      </c>
      <c r="G238" s="2">
        <v>104.209999084472</v>
      </c>
      <c r="H238" s="2">
        <v>104.220001220703</v>
      </c>
      <c r="I238" s="2">
        <v>104.220001220703</v>
      </c>
      <c r="J238" s="2">
        <v>32336900</v>
      </c>
      <c r="K238" s="42">
        <f t="shared" si="10"/>
        <v>103.220001220703</v>
      </c>
    </row>
    <row r="239" spans="2:16">
      <c r="B239" t="s">
        <v>17</v>
      </c>
      <c r="C239" s="3" t="s">
        <v>11</v>
      </c>
      <c r="D239" s="1">
        <v>45008</v>
      </c>
      <c r="E239" s="2">
        <v>105.889999389648</v>
      </c>
      <c r="F239" s="2">
        <v>107.10099792480401</v>
      </c>
      <c r="G239" s="2">
        <v>105.41000366210901</v>
      </c>
      <c r="H239" s="2">
        <v>106.26000213623</v>
      </c>
      <c r="I239" s="2">
        <v>106.26000213623</v>
      </c>
      <c r="J239" s="2">
        <v>31385800</v>
      </c>
      <c r="K239" s="42">
        <f t="shared" si="10"/>
        <v>105.26000213623</v>
      </c>
    </row>
    <row r="240" spans="2:16">
      <c r="B240" t="s">
        <v>17</v>
      </c>
      <c r="C240" s="3" t="s">
        <v>11</v>
      </c>
      <c r="D240" s="1">
        <v>45009</v>
      </c>
      <c r="E240" s="2">
        <v>105.73999786376901</v>
      </c>
      <c r="F240" s="2">
        <v>106.16000366210901</v>
      </c>
      <c r="G240" s="2">
        <v>104.73999786376901</v>
      </c>
      <c r="H240" s="2">
        <v>106.059997558593</v>
      </c>
      <c r="I240" s="2">
        <v>106.059997558593</v>
      </c>
      <c r="J240" s="2">
        <v>25245000</v>
      </c>
      <c r="K240" s="42">
        <f t="shared" si="10"/>
        <v>105.059997558593</v>
      </c>
    </row>
    <row r="241" spans="2:16">
      <c r="B241" t="s">
        <v>17</v>
      </c>
      <c r="C241" s="3" t="s">
        <v>11</v>
      </c>
      <c r="D241" s="1">
        <v>45012</v>
      </c>
      <c r="E241" s="2">
        <v>105.31999969482401</v>
      </c>
      <c r="F241" s="2">
        <v>105.400001525878</v>
      </c>
      <c r="G241" s="2">
        <v>102.629997253417</v>
      </c>
      <c r="H241" s="2">
        <v>103.059997558593</v>
      </c>
      <c r="I241" s="2">
        <v>103.059997558593</v>
      </c>
      <c r="J241" s="2">
        <v>25393400</v>
      </c>
      <c r="K241" s="42">
        <f t="shared" si="10"/>
        <v>102.059997558593</v>
      </c>
    </row>
    <row r="242" spans="2:16">
      <c r="B242" t="s">
        <v>17</v>
      </c>
      <c r="C242" s="3" t="s">
        <v>11</v>
      </c>
      <c r="D242" s="1">
        <v>45013</v>
      </c>
      <c r="E242" s="2">
        <v>103</v>
      </c>
      <c r="F242" s="2">
        <v>103</v>
      </c>
      <c r="G242" s="2">
        <v>100.27999877929599</v>
      </c>
      <c r="H242" s="2">
        <v>101.36000061035099</v>
      </c>
      <c r="I242" s="2">
        <v>101.36000061035099</v>
      </c>
      <c r="J242" s="2">
        <v>24913500</v>
      </c>
      <c r="K242" s="42">
        <f t="shared" si="10"/>
        <v>100.36000061035099</v>
      </c>
    </row>
    <row r="243" spans="2:16">
      <c r="B243" t="s">
        <v>17</v>
      </c>
      <c r="C243" s="3" t="s">
        <v>11</v>
      </c>
      <c r="D243" s="1">
        <v>45014</v>
      </c>
      <c r="E243" s="2">
        <v>102.720001220703</v>
      </c>
      <c r="F243" s="2">
        <v>102.81999969482401</v>
      </c>
      <c r="G243" s="2">
        <v>101.02999877929599</v>
      </c>
      <c r="H243" s="2">
        <v>101.900001525878</v>
      </c>
      <c r="I243" s="2">
        <v>101.900001525878</v>
      </c>
      <c r="J243" s="2">
        <v>26148300</v>
      </c>
      <c r="K243" s="42">
        <f t="shared" si="10"/>
        <v>100.900001525878</v>
      </c>
    </row>
    <row r="244" spans="2:16">
      <c r="B244" t="s">
        <v>17</v>
      </c>
      <c r="C244" s="3" t="s">
        <v>11</v>
      </c>
      <c r="D244" s="1">
        <v>45015</v>
      </c>
      <c r="E244" s="2">
        <v>101.44000244140599</v>
      </c>
      <c r="F244" s="2">
        <v>101.61000061035099</v>
      </c>
      <c r="G244" s="2">
        <v>100.290000915527</v>
      </c>
      <c r="H244" s="2">
        <v>101.31999969482401</v>
      </c>
      <c r="I244" s="2">
        <v>101.31999969482401</v>
      </c>
      <c r="J244" s="2">
        <v>25009800</v>
      </c>
      <c r="K244" s="42">
        <f t="shared" si="10"/>
        <v>100.31999969482401</v>
      </c>
    </row>
    <row r="245" spans="2:16">
      <c r="B245" t="s">
        <v>17</v>
      </c>
      <c r="C245" s="3" t="s">
        <v>11</v>
      </c>
      <c r="D245" s="1">
        <v>45016</v>
      </c>
      <c r="E245" s="2">
        <v>101.709999084472</v>
      </c>
      <c r="F245" s="2">
        <v>104.19000244140599</v>
      </c>
      <c r="G245" s="2">
        <v>101.44000244140599</v>
      </c>
      <c r="H245" s="2">
        <v>104</v>
      </c>
      <c r="I245" s="2">
        <v>104</v>
      </c>
      <c r="J245" s="2">
        <v>28086500</v>
      </c>
      <c r="K245" s="42">
        <f t="shared" si="10"/>
        <v>103</v>
      </c>
      <c r="N245" s="30" t="s">
        <v>39</v>
      </c>
      <c r="O245" s="30"/>
      <c r="P245" s="30"/>
    </row>
    <row r="246" spans="2:16">
      <c r="B246" t="s">
        <v>17</v>
      </c>
      <c r="C246" s="3" t="s">
        <v>11</v>
      </c>
      <c r="D246" s="1">
        <v>45019</v>
      </c>
      <c r="E246" s="2">
        <v>102.669998168945</v>
      </c>
      <c r="F246" s="2">
        <v>104.949996948242</v>
      </c>
      <c r="G246" s="2">
        <v>102.379997253417</v>
      </c>
      <c r="H246" s="2">
        <v>104.91000366210901</v>
      </c>
      <c r="I246" s="2">
        <v>104.91000366210901</v>
      </c>
      <c r="J246" s="2">
        <v>20719900</v>
      </c>
      <c r="K246" s="42">
        <f t="shared" si="10"/>
        <v>103.91000366210901</v>
      </c>
    </row>
    <row r="247" spans="2:16">
      <c r="B247" t="s">
        <v>17</v>
      </c>
      <c r="C247" s="3" t="s">
        <v>11</v>
      </c>
      <c r="D247" s="1">
        <v>45020</v>
      </c>
      <c r="E247" s="2">
        <v>104.83999633789</v>
      </c>
      <c r="F247" s="2">
        <v>106.09999847412099</v>
      </c>
      <c r="G247" s="2">
        <v>104.59999847412099</v>
      </c>
      <c r="H247" s="2">
        <v>105.120002746582</v>
      </c>
      <c r="I247" s="2">
        <v>105.120002746582</v>
      </c>
      <c r="J247" s="2">
        <v>20377200</v>
      </c>
      <c r="K247" s="42">
        <f t="shared" si="10"/>
        <v>104.120002746582</v>
      </c>
    </row>
    <row r="248" spans="2:16">
      <c r="B248" t="s">
        <v>17</v>
      </c>
      <c r="C248" s="3" t="s">
        <v>11</v>
      </c>
      <c r="D248" s="1">
        <v>45021</v>
      </c>
      <c r="E248" s="2">
        <v>106.120002746582</v>
      </c>
      <c r="F248" s="2">
        <v>106.540000915527</v>
      </c>
      <c r="G248" s="2">
        <v>104.101997375488</v>
      </c>
      <c r="H248" s="2">
        <v>104.949996948242</v>
      </c>
      <c r="I248" s="2">
        <v>104.949996948242</v>
      </c>
      <c r="J248" s="2">
        <v>21864200</v>
      </c>
      <c r="K248" s="42">
        <f t="shared" si="10"/>
        <v>103.949996948242</v>
      </c>
    </row>
    <row r="249" spans="2:16">
      <c r="B249" t="s">
        <v>17</v>
      </c>
      <c r="C249" s="3" t="s">
        <v>11</v>
      </c>
      <c r="D249" s="1">
        <v>45022</v>
      </c>
      <c r="E249" s="2">
        <v>105.76999664306599</v>
      </c>
      <c r="F249" s="2">
        <v>109.629997253417</v>
      </c>
      <c r="G249" s="2">
        <v>104.81500244140599</v>
      </c>
      <c r="H249" s="2">
        <v>108.900001525878</v>
      </c>
      <c r="I249" s="2">
        <v>108.900001525878</v>
      </c>
      <c r="J249" s="2">
        <v>34684200</v>
      </c>
      <c r="K249" s="42">
        <f t="shared" si="10"/>
        <v>107.900001525878</v>
      </c>
    </row>
    <row r="250" spans="2:16">
      <c r="B250" t="s">
        <v>17</v>
      </c>
      <c r="C250" s="3" t="s">
        <v>11</v>
      </c>
      <c r="D250" s="1">
        <v>45026</v>
      </c>
      <c r="E250" s="2">
        <v>107.389999389648</v>
      </c>
      <c r="F250" s="2">
        <v>107.970001220703</v>
      </c>
      <c r="G250" s="2">
        <v>105.59999847412099</v>
      </c>
      <c r="H250" s="2">
        <v>106.949996948242</v>
      </c>
      <c r="I250" s="2">
        <v>106.949996948242</v>
      </c>
      <c r="J250" s="2">
        <v>19741500</v>
      </c>
      <c r="K250" s="42">
        <f t="shared" si="10"/>
        <v>105.949996948242</v>
      </c>
    </row>
    <row r="251" spans="2:16">
      <c r="B251" t="s">
        <v>17</v>
      </c>
      <c r="C251" s="3" t="s">
        <v>11</v>
      </c>
      <c r="D251" s="1">
        <v>45027</v>
      </c>
      <c r="E251" s="2">
        <v>106.919998168945</v>
      </c>
      <c r="F251" s="2">
        <v>107.220001220703</v>
      </c>
      <c r="G251" s="2">
        <v>105.27999877929599</v>
      </c>
      <c r="H251" s="2">
        <v>106.120002746582</v>
      </c>
      <c r="I251" s="2">
        <v>106.120002746582</v>
      </c>
      <c r="J251" s="2">
        <v>18721300</v>
      </c>
      <c r="K251" s="42">
        <f t="shared" si="10"/>
        <v>105.120002746582</v>
      </c>
    </row>
    <row r="252" spans="2:16">
      <c r="B252" t="s">
        <v>17</v>
      </c>
      <c r="C252" s="3" t="s">
        <v>11</v>
      </c>
      <c r="D252" s="1">
        <v>45028</v>
      </c>
      <c r="E252" s="2">
        <v>107.389999389648</v>
      </c>
      <c r="F252" s="2">
        <v>107.58699798583901</v>
      </c>
      <c r="G252" s="2">
        <v>104.970001220703</v>
      </c>
      <c r="H252" s="2">
        <v>105.220001220703</v>
      </c>
      <c r="I252" s="2">
        <v>105.220001220703</v>
      </c>
      <c r="J252" s="2">
        <v>22761600</v>
      </c>
      <c r="K252" s="42">
        <f t="shared" si="10"/>
        <v>104.220001220703</v>
      </c>
    </row>
    <row r="253" spans="2:16">
      <c r="B253" t="s">
        <v>17</v>
      </c>
      <c r="C253" s="3" t="s">
        <v>11</v>
      </c>
      <c r="D253" s="1">
        <v>45029</v>
      </c>
      <c r="E253" s="2">
        <v>106.470001220703</v>
      </c>
      <c r="F253" s="2">
        <v>108.264999389648</v>
      </c>
      <c r="G253" s="2">
        <v>106.44000244140599</v>
      </c>
      <c r="H253" s="2">
        <v>108.19000244140599</v>
      </c>
      <c r="I253" s="2">
        <v>108.19000244140599</v>
      </c>
      <c r="J253" s="2">
        <v>21650700</v>
      </c>
      <c r="K253" s="42">
        <f t="shared" si="10"/>
        <v>107.19000244140599</v>
      </c>
    </row>
    <row r="254" spans="2:16">
      <c r="B254" t="s">
        <v>17</v>
      </c>
      <c r="C254" s="3" t="s">
        <v>11</v>
      </c>
      <c r="D254" s="1">
        <v>45030</v>
      </c>
      <c r="E254" s="2">
        <v>107.69000244140599</v>
      </c>
      <c r="F254" s="2">
        <v>109.58000183105401</v>
      </c>
      <c r="G254" s="2">
        <v>107.58999633789</v>
      </c>
      <c r="H254" s="2">
        <v>109.459999084472</v>
      </c>
      <c r="I254" s="2">
        <v>109.459999084472</v>
      </c>
      <c r="J254" s="2">
        <v>20745400</v>
      </c>
      <c r="K254" s="42">
        <f t="shared" si="10"/>
        <v>108.459999084472</v>
      </c>
    </row>
    <row r="255" spans="2:16">
      <c r="B255" t="s">
        <v>17</v>
      </c>
      <c r="C255" s="3" t="s">
        <v>11</v>
      </c>
      <c r="D255" s="1">
        <v>45033</v>
      </c>
      <c r="E255" s="2">
        <v>105.430000305175</v>
      </c>
      <c r="F255" s="2">
        <v>106.709999084472</v>
      </c>
      <c r="G255" s="2">
        <v>105.31999969482401</v>
      </c>
      <c r="H255" s="2">
        <v>106.419998168945</v>
      </c>
      <c r="I255" s="2">
        <v>106.419998168945</v>
      </c>
      <c r="J255" s="2">
        <v>29043400</v>
      </c>
      <c r="K255" s="42">
        <f t="shared" si="10"/>
        <v>105.419998168945</v>
      </c>
    </row>
    <row r="256" spans="2:16">
      <c r="B256" t="s">
        <v>17</v>
      </c>
      <c r="C256" s="3" t="s">
        <v>11</v>
      </c>
      <c r="D256" s="1">
        <v>45034</v>
      </c>
      <c r="E256" s="2">
        <v>107</v>
      </c>
      <c r="F256" s="2">
        <v>107.050003051757</v>
      </c>
      <c r="G256" s="2">
        <v>104.77999877929599</v>
      </c>
      <c r="H256" s="2">
        <v>105.120002746582</v>
      </c>
      <c r="I256" s="2">
        <v>105.120002746582</v>
      </c>
      <c r="J256" s="2">
        <v>17641400</v>
      </c>
      <c r="K256" s="42">
        <f t="shared" si="10"/>
        <v>104.120002746582</v>
      </c>
    </row>
    <row r="257" spans="2:11">
      <c r="B257" t="s">
        <v>17</v>
      </c>
      <c r="C257" s="3" t="s">
        <v>11</v>
      </c>
      <c r="D257" s="1">
        <v>45035</v>
      </c>
      <c r="E257" s="2">
        <v>104.21499633789</v>
      </c>
      <c r="F257" s="2">
        <v>105.72499847412099</v>
      </c>
      <c r="G257" s="2">
        <v>103.800003051757</v>
      </c>
      <c r="H257" s="2">
        <v>105.01999664306599</v>
      </c>
      <c r="I257" s="2">
        <v>105.01999664306599</v>
      </c>
      <c r="J257" s="2">
        <v>16732000</v>
      </c>
      <c r="K257" s="42">
        <f t="shared" si="10"/>
        <v>104.01999664306599</v>
      </c>
    </row>
    <row r="258" spans="2:11">
      <c r="B258" t="s">
        <v>17</v>
      </c>
      <c r="C258" s="3" t="s">
        <v>11</v>
      </c>
      <c r="D258" s="1">
        <v>45036</v>
      </c>
      <c r="E258" s="2">
        <v>104.650001525878</v>
      </c>
      <c r="F258" s="2">
        <v>106.88800048828099</v>
      </c>
      <c r="G258" s="2">
        <v>104.639999389648</v>
      </c>
      <c r="H258" s="2">
        <v>105.900001525878</v>
      </c>
      <c r="I258" s="2">
        <v>105.900001525878</v>
      </c>
      <c r="J258" s="2">
        <v>22515300</v>
      </c>
      <c r="K258" s="42">
        <f t="shared" si="10"/>
        <v>104.900001525878</v>
      </c>
    </row>
    <row r="259" spans="2:11">
      <c r="B259" t="s">
        <v>17</v>
      </c>
      <c r="C259" s="3" t="s">
        <v>11</v>
      </c>
      <c r="D259" s="1">
        <v>45037</v>
      </c>
      <c r="E259" s="2">
        <v>106.08999633789</v>
      </c>
      <c r="F259" s="2">
        <v>106.639999389648</v>
      </c>
      <c r="G259" s="2">
        <v>105.48500061035099</v>
      </c>
      <c r="H259" s="2">
        <v>105.91000366210901</v>
      </c>
      <c r="I259" s="2">
        <v>105.91000366210901</v>
      </c>
      <c r="J259" s="2">
        <v>22369800</v>
      </c>
      <c r="K259" s="42">
        <f t="shared" si="10"/>
        <v>104.91000366210901</v>
      </c>
    </row>
    <row r="260" spans="2:11">
      <c r="B260" t="s">
        <v>17</v>
      </c>
      <c r="C260" s="3" t="s">
        <v>11</v>
      </c>
      <c r="D260" s="1">
        <v>45040</v>
      </c>
      <c r="E260" s="2">
        <v>106.050003051757</v>
      </c>
      <c r="F260" s="2">
        <v>107.31999969482401</v>
      </c>
      <c r="G260" s="2">
        <v>105.36000061035099</v>
      </c>
      <c r="H260" s="2">
        <v>106.77999877929599</v>
      </c>
      <c r="I260" s="2">
        <v>106.77999877929599</v>
      </c>
      <c r="J260" s="2">
        <v>21410900</v>
      </c>
      <c r="K260" s="42">
        <f t="shared" si="10"/>
        <v>105.77999877929599</v>
      </c>
    </row>
    <row r="261" spans="2:11">
      <c r="B261" t="s">
        <v>17</v>
      </c>
      <c r="C261" s="3" t="s">
        <v>11</v>
      </c>
      <c r="D261" s="1">
        <v>45041</v>
      </c>
      <c r="E261" s="2">
        <v>106.61000061035099</v>
      </c>
      <c r="F261" s="2">
        <v>107.44000244140599</v>
      </c>
      <c r="G261" s="2">
        <v>104.559997558593</v>
      </c>
      <c r="H261" s="2">
        <v>104.61000061035099</v>
      </c>
      <c r="I261" s="2">
        <v>104.61000061035099</v>
      </c>
      <c r="J261" s="2">
        <v>31408100</v>
      </c>
      <c r="K261" s="42">
        <f t="shared" si="10"/>
        <v>103.61000061035099</v>
      </c>
    </row>
    <row r="262" spans="2:11">
      <c r="B262" t="s">
        <v>17</v>
      </c>
      <c r="C262" s="3" t="s">
        <v>11</v>
      </c>
      <c r="D262" s="1">
        <v>45042</v>
      </c>
      <c r="E262" s="2">
        <v>105.559997558593</v>
      </c>
      <c r="F262" s="2">
        <v>107.01999664306599</v>
      </c>
      <c r="G262" s="2">
        <v>103.26999664306599</v>
      </c>
      <c r="H262" s="2">
        <v>104.449996948242</v>
      </c>
      <c r="I262" s="2">
        <v>104.449996948242</v>
      </c>
      <c r="J262" s="2">
        <v>37068200</v>
      </c>
      <c r="K262" s="42">
        <f t="shared" si="10"/>
        <v>103.449996948242</v>
      </c>
    </row>
    <row r="263" spans="2:11">
      <c r="B263" t="s">
        <v>17</v>
      </c>
      <c r="C263" s="3" t="s">
        <v>11</v>
      </c>
      <c r="D263" s="1">
        <v>45043</v>
      </c>
      <c r="E263" s="2">
        <v>105.230003356933</v>
      </c>
      <c r="F263" s="2">
        <v>109.150001525878</v>
      </c>
      <c r="G263" s="2">
        <v>104.419998168945</v>
      </c>
      <c r="H263" s="2">
        <v>108.370002746582</v>
      </c>
      <c r="I263" s="2">
        <v>108.370002746582</v>
      </c>
      <c r="J263" s="2">
        <v>38235200</v>
      </c>
      <c r="K263" s="42">
        <f t="shared" si="10"/>
        <v>107.370002746582</v>
      </c>
    </row>
    <row r="264" spans="2:11">
      <c r="B264" t="s">
        <v>17</v>
      </c>
      <c r="C264" s="3" t="s">
        <v>11</v>
      </c>
      <c r="D264" s="1">
        <v>45044</v>
      </c>
      <c r="E264" s="2">
        <v>107.800003051757</v>
      </c>
      <c r="F264" s="2">
        <v>108.290000915527</v>
      </c>
      <c r="G264" s="2">
        <v>106.040000915527</v>
      </c>
      <c r="H264" s="2">
        <v>108.220001220703</v>
      </c>
      <c r="I264" s="2">
        <v>108.220001220703</v>
      </c>
      <c r="J264" s="2">
        <v>23957900</v>
      </c>
      <c r="K264" s="42">
        <f t="shared" si="10"/>
        <v>107.220001220703</v>
      </c>
    </row>
    <row r="265" spans="2:11">
      <c r="B265" t="s">
        <v>17</v>
      </c>
      <c r="C265" s="3" t="s">
        <v>11</v>
      </c>
      <c r="D265" s="1">
        <v>45047</v>
      </c>
      <c r="E265" s="2">
        <v>107.720001220703</v>
      </c>
      <c r="F265" s="2">
        <v>108.680000305175</v>
      </c>
      <c r="G265" s="2">
        <v>107.5</v>
      </c>
      <c r="H265" s="2">
        <v>107.709999084472</v>
      </c>
      <c r="I265" s="2">
        <v>107.709999084472</v>
      </c>
      <c r="J265" s="2">
        <v>20926300</v>
      </c>
      <c r="K265" s="42">
        <f t="shared" si="10"/>
        <v>106.709999084472</v>
      </c>
    </row>
    <row r="266" spans="2:11">
      <c r="B266" t="s">
        <v>17</v>
      </c>
      <c r="C266" s="3" t="s">
        <v>11</v>
      </c>
      <c r="D266" s="1">
        <v>45048</v>
      </c>
      <c r="E266" s="2">
        <v>107.66000366210901</v>
      </c>
      <c r="F266" s="2">
        <v>107.730003356933</v>
      </c>
      <c r="G266" s="2">
        <v>104.5</v>
      </c>
      <c r="H266" s="2">
        <v>105.980003356933</v>
      </c>
      <c r="I266" s="2">
        <v>105.980003356933</v>
      </c>
      <c r="J266" s="2">
        <v>20343100</v>
      </c>
      <c r="K266" s="42">
        <f t="shared" si="10"/>
        <v>104.980003356933</v>
      </c>
    </row>
    <row r="267" spans="2:11">
      <c r="B267" t="s">
        <v>17</v>
      </c>
      <c r="C267" s="3" t="s">
        <v>11</v>
      </c>
      <c r="D267" s="1">
        <v>45049</v>
      </c>
      <c r="E267" s="2">
        <v>106.220001220703</v>
      </c>
      <c r="F267" s="2">
        <v>108.129997253417</v>
      </c>
      <c r="G267" s="2">
        <v>105.620002746582</v>
      </c>
      <c r="H267" s="2">
        <v>106.120002746582</v>
      </c>
      <c r="I267" s="2">
        <v>106.120002746582</v>
      </c>
      <c r="J267" s="2">
        <v>17116300</v>
      </c>
      <c r="K267" s="42">
        <f t="shared" si="10"/>
        <v>105.120002746582</v>
      </c>
    </row>
    <row r="268" spans="2:11">
      <c r="B268" t="s">
        <v>17</v>
      </c>
      <c r="C268" s="3" t="s">
        <v>11</v>
      </c>
      <c r="D268" s="1">
        <v>45050</v>
      </c>
      <c r="E268" s="2">
        <v>106.16000366210901</v>
      </c>
      <c r="F268" s="2">
        <v>106.300003051757</v>
      </c>
      <c r="G268" s="2">
        <v>104.699996948242</v>
      </c>
      <c r="H268" s="2">
        <v>105.209999084472</v>
      </c>
      <c r="I268" s="2">
        <v>105.209999084472</v>
      </c>
      <c r="J268" s="2">
        <v>19780600</v>
      </c>
      <c r="K268" s="42">
        <f t="shared" si="10"/>
        <v>104.209999084472</v>
      </c>
    </row>
    <row r="269" spans="2:11">
      <c r="B269" t="s">
        <v>17</v>
      </c>
      <c r="C269" s="3" t="s">
        <v>11</v>
      </c>
      <c r="D269" s="1">
        <v>45051</v>
      </c>
      <c r="E269" s="2">
        <v>105.31999969482401</v>
      </c>
      <c r="F269" s="2">
        <v>106.44000244140599</v>
      </c>
      <c r="G269" s="2">
        <v>104.738998413085</v>
      </c>
      <c r="H269" s="2">
        <v>106.21499633789</v>
      </c>
      <c r="I269" s="2">
        <v>106.21499633789</v>
      </c>
      <c r="J269" s="2">
        <v>20705300</v>
      </c>
      <c r="K269" s="42">
        <f t="shared" si="10"/>
        <v>105.21499633789</v>
      </c>
    </row>
  </sheetData>
  <mergeCells count="22">
    <mergeCell ref="N245:P245"/>
    <mergeCell ref="F139:G139"/>
    <mergeCell ref="F205:G205"/>
    <mergeCell ref="S4:W5"/>
    <mergeCell ref="N49:P49"/>
    <mergeCell ref="N112:P112"/>
    <mergeCell ref="N181:P181"/>
    <mergeCell ref="D3:I4"/>
    <mergeCell ref="E7:F7"/>
    <mergeCell ref="E73:F73"/>
    <mergeCell ref="AF7:AH7"/>
    <mergeCell ref="N28:P28"/>
    <mergeCell ref="N225:P225"/>
    <mergeCell ref="N160:P160"/>
    <mergeCell ref="N93:P93"/>
    <mergeCell ref="N8:P8"/>
    <mergeCell ref="N74:P74"/>
    <mergeCell ref="N140:P140"/>
    <mergeCell ref="N206:P206"/>
    <mergeCell ref="AA8:AC8"/>
    <mergeCell ref="AA17:AB17"/>
    <mergeCell ref="AA18:AB18"/>
  </mergeCells>
  <pageMargins left="0.7" right="0.7" top="0.75" bottom="0.75" header="0.3" footer="0.3"/>
  <pageSetup orientation="portrait" r:id="rId1"/>
  <ignoredErrors>
    <ignoredError sqref="T1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stocks project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shivalika reyal</dc:creator>
  <cp:lastModifiedBy>Shivalika Singh</cp:lastModifiedBy>
  <dcterms:created xsi:type="dcterms:W3CDTF">2025-12-02T13:43:34Z</dcterms:created>
  <dcterms:modified xsi:type="dcterms:W3CDTF">2025-12-02T14:19:11Z</dcterms:modified>
</cp:coreProperties>
</file>